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52a779e40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im" sheetId="1" r:id="Raede4a897bf1420e"/>
    <x:sheet xmlns:r="http://schemas.openxmlformats.org/officeDocument/2006/relationships" name="Ayarlar" sheetId="2" r:id="Rf047866264044e7d"/>
    <x:sheet xmlns:r="http://schemas.openxmlformats.org/officeDocument/2006/relationships" name="Hesap" sheetId="3" r:id="R531927ec36c946b7"/>
    <x:sheet xmlns:r="http://schemas.openxmlformats.org/officeDocument/2006/relationships" name="Proje girdileri" sheetId="4" r:id="R9dfb9b2085d24542"/>
    <x:sheet xmlns:r="http://schemas.openxmlformats.org/officeDocument/2006/relationships" name="Kriterler" sheetId="5" r:id="R97330376ca594c3c"/>
    <x:sheet xmlns:r="http://schemas.openxmlformats.org/officeDocument/2006/relationships" name="100 soru" sheetId="6" r:id="Rf71340e7fcc448e8"/>
    <x:sheet xmlns:r="http://schemas.openxmlformats.org/officeDocument/2006/relationships" name="Yontem" sheetId="7" r:id="R6b04d70b40f942c0"/>
    <x:sheet xmlns:r="http://schemas.openxmlformats.org/officeDocument/2006/relationships" name="Kohort" sheetId="8" r:id="Re11a344b2af0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0.0"/>
    <x:numFmt numFmtId="203" formatCode="#,##0.00;(#,##0.00);-"/>
  </x:numFmts>
  <x:fonts count="4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  <x:font>
      <x:sz val="10"/>
      <x:color rgb="FF145BB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C55"/>
      </x:patternFill>
    </x:fill>
    <x:fill>
      <x:patternFill patternType="solid">
        <x:fgColor rgb="FFFFF0C0"/>
      </x:patternFill>
    </x:fill>
    <x:fill>
      <x:patternFill patternType="solid">
        <x:fgColor rgb="FFFFF4D4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A52424"/>
      </x:font>
      <x:fill>
        <x:patternFill patternType="solid">
          <x:bgColor rgb="FFFCE4DE"/>
        </x:patternFill>
      </x:fill>
    </x:dxf>
    <x:dxf>
      <x:font>
        <x:color rgb="FFA5242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cb576d695a4f93" /><Relationship Type="http://schemas.openxmlformats.org/officeDocument/2006/relationships/theme" Target="/xl/theme/theme1.xml" Id="Re5369a8890a34046" /><Relationship Type="http://schemas.openxmlformats.org/officeDocument/2006/relationships/sharedStrings" Target="/xl/sharedStrings.xml" Id="Ra856adccd9bf4c1c" /><Relationship Type="http://schemas.openxmlformats.org/officeDocument/2006/relationships/worksheet" Target="/xl/worksheets/sheet1.xml" Id="Raede4a897bf1420e" /><Relationship Type="http://schemas.openxmlformats.org/officeDocument/2006/relationships/worksheet" Target="/xl/worksheets/sheet2.xml" Id="Rf047866264044e7d" /><Relationship Type="http://schemas.openxmlformats.org/officeDocument/2006/relationships/worksheet" Target="/xl/worksheets/sheet3.xml" Id="R531927ec36c946b7" /><Relationship Type="http://schemas.openxmlformats.org/officeDocument/2006/relationships/worksheet" Target="/xl/worksheets/sheet4.xml" Id="R9dfb9b2085d24542" /><Relationship Type="http://schemas.openxmlformats.org/officeDocument/2006/relationships/worksheet" Target="/xl/worksheets/sheet5.xml" Id="R97330376ca594c3c" /><Relationship Type="http://schemas.openxmlformats.org/officeDocument/2006/relationships/worksheet" Target="/xl/worksheets/sheet6.xml" Id="Rf71340e7fcc448e8" /><Relationship Type="http://schemas.openxmlformats.org/officeDocument/2006/relationships/worksheet" Target="/xl/worksheets/sheet7.xml" Id="R6b04d70b40f942c0" /><Relationship Type="http://schemas.openxmlformats.org/officeDocument/2006/relationships/worksheet" Target="/xl/worksheets/sheet8.xml" Id="Re11a344b2af04491" /></Relationships>
</file>

<file path=xl/tables/table1.xml><?xml version="1.0" encoding="utf-8"?>
<x:table xmlns:x="http://schemas.openxmlformats.org/spreadsheetml/2006/main" id="1" name="SecimTablosu" displayName="SecimTablosu" ref="A9:I55" headerRowCount="1" totalsRowCount="0" totalsRowShown="0">
  <x:tableColumns count="9">
    <x:tableColumn id="1" name="İlk nakit deney sırası"/>
    <x:tableColumn id="2" name="Ürün"/>
    <x:tableColumn id="3" name="Puan"/>
    <x:tableColumn id="4" name="Kapı"/>
    <x:tableColumn id="5" name="Hedef satış"/>
    <x:tableColumn id="6" name="Kapasite satış"/>
    <x:tableColumn id="7" name="Örnek net USD"/>
    <x:tableColumn id="8" name="Ekonomik USD"/>
    <x:tableColumn id="9" name="Self-service sı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7b08d4d7304a26" /></Relationships>
</file>

<file path=xl/worksheets/sheet1.xml><?xml version="1.0" encoding="utf-8"?>
<x:worksheet xmlns:x="http://schemas.openxmlformats.org/spreadsheetml/2006/main">
  <x:sheetPr>
    <x:tabColor rgb="FF223C55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6" hidden="0" customWidth="1"/>
    <x:col min="4" max="4" width="2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32" hidden="0" customWidth="1"/>
    <x:col min="13" max="13" width="16" hidden="0" customWidth="1"/>
    <x:col min="14" max="14" width="21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Proje seçim modeli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 t="str">
        <x:v>Puan = geçici tercih. Finans = örnek input aritmetiği. Bilinmeyen kapı = yalnız deney; yüksek puan yatırım izni vermez.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38" customHeight="1">
      <x:c r="A5" s="5" t="str">
        <x:v>Hedef net USD</x:v>
      </x:c>
      <x:c r="B5" s="5" t="str">
        <x:v>Ufuk ay</x:v>
      </x:c>
      <x:c r="C5" s="5" t="str">
        <x:v>Haftalık saat</x:v>
      </x:c>
      <x:c r="D5" s="5" t="str">
        <x:v>Bütçe USD</x:v>
      </x:c>
      <x:c r="E5" s="5" t="str">
        <x:v>Saat değeri USD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24" customHeight="1">
      <x:c r="A6" s="2" t="n">
        <x:f>'Ayarlar'!B5</x:f>
        <x:v>3000</x:v>
      </x:c>
      <x:c r="B6" s="2" t="n">
        <x:f>'Ayarlar'!B6</x:f>
        <x:v>6</x:v>
      </x:c>
      <x:c r="C6" s="2" t="n">
        <x:f>'Ayarlar'!B7</x:f>
        <x:v>5</x:v>
      </x:c>
      <x:c r="D6" s="2" t="n">
        <x:f>'Ayarlar'!B8</x:f>
        <x:v>500</x:v>
      </x:c>
      <x:c r="E6" s="2" t="n">
        <x:f>'Ayarlar'!B9</x:f>
        <x:v>25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24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38" customHeight="1">
      <x:c r="A9" s="5" t="str">
        <x:v>İlk nakit deney sırası</x:v>
      </x:c>
      <x:c r="B9" s="5" t="str">
        <x:v>Ürün</x:v>
      </x:c>
      <x:c r="C9" s="5" t="str">
        <x:v>Puan</x:v>
      </x:c>
      <x:c r="D9" s="5" t="str">
        <x:v>Kapı</x:v>
      </x:c>
      <x:c r="E9" s="5" t="str">
        <x:v>Hedef satış</x:v>
      </x:c>
      <x:c r="F9" s="5" t="str">
        <x:v>Kapasite satış</x:v>
      </x:c>
      <x:c r="G9" s="5" t="str">
        <x:v>Örnek net USD</x:v>
      </x:c>
      <x:c r="H9" s="5" t="str">
        <x:v>Ekonomik USD</x:v>
      </x:c>
      <x:c r="I9" s="5" t="str">
        <x:v>Self-service sıra</x:v>
      </x:c>
      <x:c r="J9" s="2"/>
      <x:c r="K9" s="5" t="str">
        <x:v>Self-service deney sırası</x:v>
      </x:c>
      <x:c r="L9" s="5" t="str">
        <x:v>Ürün</x:v>
      </x:c>
      <x:c r="M9" s="5" t="str">
        <x:v>Puan</x:v>
      </x:c>
      <x:c r="N9" s="5" t="str">
        <x:v>Kapı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24" customHeight="1">
      <x:c r="A10" s="2" t="n">
        <x:f>IFNA(INDEX('Hesap'!$P$5:$P$50,MATCH(1,'Hesap'!$P$5:$P$50,0)),"")</x:f>
        <x:v>1</x:v>
      </x:c>
      <x:c r="B10" s="2" t="str">
        <x:f>IFNA(INDEX('Hesap'!$B$5:$B$50,MATCH(1,'Hesap'!$P$5:$P$50,0)),"")</x:f>
        <x:v>QRAL kaynak export</x:v>
      </x:c>
      <x:c r="C10" s="23" t="n">
        <x:f>IFNA(INDEX('Hesap'!$D$5:$D$50,MATCH(1,'Hesap'!$P$5:$P$50,0)),"")</x:f>
        <x:v>56.300000000000004</x:v>
      </x:c>
      <x:c r="D10" s="2" t="str">
        <x:f>IFNA(INDEX('Hesap'!$C$5:$C$50,MATCH(1,'Hesap'!$P$5:$P$50,0)),"")</x:f>
        <x:v>Yalnız deney</x:v>
      </x:c>
      <x:c r="E10" s="2" t="n">
        <x:f>IFNA(INDEX('Hesap'!$F$5:$F$50,MATCH(1,'Hesap'!$P$5:$P$50,0)),"")</x:f>
        <x:v>130</x:v>
      </x:c>
      <x:c r="F10" s="2" t="n">
        <x:f>IFNA(INDEX('Hesap'!$G$5:$G$50,MATCH(1,'Hesap'!$P$5:$P$50,0)),"")</x:f>
        <x:v>186</x:v>
      </x:c>
      <x:c r="G10" s="24" t="n">
        <x:f>IFNA(INDEX('Hesap'!$J$5:$J$50,MATCH(1,'Hesap'!$P$5:$P$50,0)),"")</x:f>
        <x:v>238.49999999999994</x:v>
      </x:c>
      <x:c r="H10" s="24" t="n">
        <x:f>IFNA(INDEX('Hesap'!$L$5:$L$50,MATCH(1,'Hesap'!$P$5:$P$50,0)),"")</x:f>
        <x:v>-1080.25</x:v>
      </x:c>
      <x:c r="I10" s="2" t="n">
        <x:f>IFNA(INDEX('Hesap'!$Q$5:$Q$50,MATCH(1,'Hesap'!$P$5:$P$50,0)),"")</x:f>
        <x:v>1</x:v>
      </x:c>
      <x:c r="J10" s="2"/>
      <x:c r="K10" s="2" t="n">
        <x:v>1</x:v>
      </x:c>
      <x:c r="L10" s="2" t="str">
        <x:f>INDEX('Hesap'!$B$5:$B$50,MATCH(K10,'Hesap'!$Q$5:$Q$50,0))</x:f>
        <x:v>QRAL kaynak export</x:v>
      </x:c>
      <x:c r="M10" s="23" t="n">
        <x:f>INDEX('Hesap'!$E$5:$E$50,MATCH(K10,'Hesap'!$Q$5:$Q$50,0))</x:f>
        <x:v>56.300000000000004</x:v>
      </x:c>
      <x:c r="N10" s="2" t="str">
        <x:f>INDEX('Hesap'!$C$5:$C$50,MATCH(K10,'Hesap'!$Q$5:$Q$50,0))</x:f>
        <x:v>Yalnız deney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24" customHeight="1">
      <x:c r="A11" s="2" t="n">
        <x:f>IFNA(INDEX('Hesap'!$P$5:$P$50,MATCH(2,'Hesap'!$P$5:$P$50,0)),"")</x:f>
        <x:v>2</x:v>
      </x:c>
      <x:c r="B11" s="2" t="str">
        <x:f>IFNA(INDEX('Hesap'!$B$5:$B$50,MATCH(2,'Hesap'!$P$5:$P$50,0)),"")</x:f>
        <x:v>SKU katkı analitiği</x:v>
      </x:c>
      <x:c r="C11" s="23" t="n">
        <x:f>IFNA(INDEX('Hesap'!$D$5:$D$50,MATCH(2,'Hesap'!$P$5:$P$50,0)),"")</x:f>
        <x:v>55.400000000000006</x:v>
      </x:c>
      <x:c r="D11" s="2" t="str">
        <x:f>IFNA(INDEX('Hesap'!$C$5:$C$50,MATCH(2,'Hesap'!$P$5:$P$50,0)),"")</x:f>
        <x:v>Yalnız deney</x:v>
      </x:c>
      <x:c r="E11" s="2" t="n">
        <x:f>IFNA(INDEX('Hesap'!$F$5:$F$50,MATCH(2,'Hesap'!$P$5:$P$50,0)),"")</x:f>
        <x:v>154</x:v>
      </x:c>
      <x:c r="F11" s="2" t="n">
        <x:f>IFNA(INDEX('Hesap'!$G$5:$G$50,MATCH(2,'Hesap'!$P$5:$P$50,0)),"")</x:f>
        <x:v>105</x:v>
      </x:c>
      <x:c r="G11" s="24" t="n">
        <x:f>IFNA(INDEX('Hesap'!$J$5:$J$50,MATCH(2,'Hesap'!$P$5:$P$50,0)),"")</x:f>
        <x:v>86.84</x:v>
      </x:c>
      <x:c r="H11" s="24" t="n">
        <x:f>IFNA(INDEX('Hesap'!$L$5:$L$50,MATCH(2,'Hesap'!$P$5:$P$50,0)),"")</x:f>
        <x:v>-1070.66</x:v>
      </x:c>
      <x:c r="I11" s="2" t="n">
        <x:f>IFNA(INDEX('Hesap'!$Q$5:$Q$50,MATCH(2,'Hesap'!$P$5:$P$50,0)),"")</x:f>
        <x:v>2</x:v>
      </x:c>
      <x:c r="J11" s="2"/>
      <x:c r="K11" s="2" t="n">
        <x:v>2</x:v>
      </x:c>
      <x:c r="L11" s="2" t="str">
        <x:f>INDEX('Hesap'!$B$5:$B$50,MATCH(K11,'Hesap'!$Q$5:$Q$50,0))</x:f>
        <x:v>SKU katkı analitiği</x:v>
      </x:c>
      <x:c r="M11" s="23" t="n">
        <x:f>INDEX('Hesap'!$E$5:$E$50,MATCH(K11,'Hesap'!$Q$5:$Q$50,0))</x:f>
        <x:v>54.80000000000002</x:v>
      </x:c>
      <x:c r="N11" s="2" t="str">
        <x:f>INDEX('Hesap'!$C$5:$C$50,MATCH(K11,'Hesap'!$Q$5:$Q$50,0))</x:f>
        <x:v>Yalnız deney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24" customHeight="1">
      <x:c r="A12" s="2" t="n">
        <x:f>IFNA(INDEX('Hesap'!$P$5:$P$50,MATCH(3,'Hesap'!$P$5:$P$50,0)),"")</x:f>
        <x:v>3</x:v>
      </x:c>
      <x:c r="B12" s="2" t="str">
        <x:f>IFNA(INDEX('Hesap'!$B$5:$B$50,MATCH(3,'Hesap'!$P$5:$P$50,0)),"")</x:f>
        <x:v>Hakediş mutabakatı</x:v>
      </x:c>
      <x:c r="C12" s="23" t="n">
        <x:f>IFNA(INDEX('Hesap'!$D$5:$D$50,MATCH(3,'Hesap'!$P$5:$P$50,0)),"")</x:f>
        <x:v>53.6</x:v>
      </x:c>
      <x:c r="D12" s="2" t="str">
        <x:f>IFNA(INDEX('Hesap'!$C$5:$C$50,MATCH(3,'Hesap'!$P$5:$P$50,0)),"")</x:f>
        <x:v>Yalnız deney</x:v>
      </x:c>
      <x:c r="E12" s="2" t="n">
        <x:f>IFNA(INDEX('Hesap'!$F$5:$F$50,MATCH(3,'Hesap'!$P$5:$P$50,0)),"")</x:f>
        <x:v>14</x:v>
      </x:c>
      <x:c r="F12" s="2" t="n">
        <x:f>IFNA(INDEX('Hesap'!$G$5:$G$50,MATCH(3,'Hesap'!$P$5:$P$50,0)),"")</x:f>
        <x:v>13</x:v>
      </x:c>
      <x:c r="G12" s="24" t="n">
        <x:f>IFNA(INDEX('Hesap'!$J$5:$J$50,MATCH(3,'Hesap'!$P$5:$P$50,0)),"")</x:f>
        <x:v>2708</x:v>
      </x:c>
      <x:c r="H12" s="24" t="n">
        <x:f>IFNA(INDEX('Hesap'!$L$5:$L$50,MATCH(3,'Hesap'!$P$5:$P$50,0)),"")</x:f>
        <x:v>-324.50000000000045</x:v>
      </x:c>
      <x:c r="I12" s="2" t="n">
        <x:f>IFNA(INDEX('Hesap'!$Q$5:$Q$50,MATCH(3,'Hesap'!$P$5:$P$50,0)),"")</x:f>
        <x:v>3</x:v>
      </x:c>
      <x:c r="J12" s="2"/>
      <x:c r="K12" s="2" t="n">
        <x:v>3</x:v>
      </x:c>
      <x:c r="L12" s="2" t="str">
        <x:f>INDEX('Hesap'!$B$5:$B$50,MATCH(K12,'Hesap'!$Q$5:$Q$50,0))</x:f>
        <x:v>Hakediş mutabakatı</x:v>
      </x:c>
      <x:c r="M12" s="23" t="n">
        <x:f>INDEX('Hesap'!$E$5:$E$50,MATCH(K12,'Hesap'!$Q$5:$Q$50,0))</x:f>
        <x:v>52.300000000000004</x:v>
      </x:c>
      <x:c r="N12" s="2" t="str">
        <x:f>INDEX('Hesap'!$C$5:$C$50,MATCH(K12,'Hesap'!$Q$5:$Q$50,0))</x:f>
        <x:v>Yalnız deney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24" customHeight="1">
      <x:c r="A13" s="2" t="n">
        <x:f>IFNA(INDEX('Hesap'!$P$5:$P$50,MATCH(4,'Hesap'!$P$5:$P$50,0)),"")</x:f>
        <x:v>4</x:v>
      </x:c>
      <x:c r="B13" s="2" t="str">
        <x:f>IFNA(INDEX('Hesap'!$B$5:$B$50,MATCH(4,'Hesap'!$P$5:$P$50,0)),"")</x:f>
        <x:v>Strateji seçenek karşılaştırma</x:v>
      </x:c>
      <x:c r="C13" s="23" t="n">
        <x:f>IFNA(INDEX('Hesap'!$D$5:$D$50,MATCH(4,'Hesap'!$P$5:$P$50,0)),"")</x:f>
        <x:v>53</x:v>
      </x:c>
      <x:c r="D13" s="2" t="str">
        <x:f>IFNA(INDEX('Hesap'!$C$5:$C$50,MATCH(4,'Hesap'!$P$5:$P$50,0)),"")</x:f>
        <x:v>Yalnız deney</x:v>
      </x:c>
      <x:c r="E13" s="2" t="n">
        <x:f>IFNA(INDEX('Hesap'!$F$5:$F$50,MATCH(4,'Hesap'!$P$5:$P$50,0)),"")</x:f>
        <x:v>62</x:v>
      </x:c>
      <x:c r="F13" s="2" t="n">
        <x:f>IFNA(INDEX('Hesap'!$G$5:$G$50,MATCH(4,'Hesap'!$P$5:$P$50,0)),"")</x:f>
        <x:v>117</x:v>
      </x:c>
      <x:c r="G13" s="24" t="n">
        <x:f>IFNA(INDEX('Hesap'!$J$5:$J$50,MATCH(4,'Hesap'!$P$5:$P$50,0)),"")</x:f>
        <x:v>643.4999999999999</x:v>
      </x:c>
      <x:c r="H13" s="24" t="n">
        <x:f>IFNA(INDEX('Hesap'!$L$5:$L$50,MATCH(4,'Hesap'!$P$5:$P$50,0)),"")</x:f>
        <x:v>-687.7500000000001</x:v>
      </x:c>
      <x:c r="I13" s="2" t="n">
        <x:f>IFNA(INDEX('Hesap'!$Q$5:$Q$50,MATCH(4,'Hesap'!$P$5:$P$50,0)),"")</x:f>
        <x:v>5</x:v>
      </x:c>
      <x:c r="J13" s="2"/>
      <x:c r="K13" s="2" t="n">
        <x:v>4</x:v>
      </x:c>
      <x:c r="L13" s="2" t="str">
        <x:f>INDEX('Hesap'!$B$5:$B$50,MATCH(K13,'Hesap'!$Q$5:$Q$50,0))</x:f>
        <x:v>Luquit entegrasyon</x:v>
      </x:c>
      <x:c r="M13" s="23" t="n">
        <x:f>INDEX('Hesap'!$E$5:$E$50,MATCH(K13,'Hesap'!$Q$5:$Q$50,0))</x:f>
        <x:v>52.100000000000016</x:v>
      </x:c>
      <x:c r="N13" s="2" t="str">
        <x:f>INDEX('Hesap'!$C$5:$C$50,MATCH(K13,'Hesap'!$Q$5:$Q$50,0))</x:f>
        <x:v>Yalnız deney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24" customHeight="1">
      <x:c r="A14" s="2" t="n">
        <x:f>IFNA(INDEX('Hesap'!$P$5:$P$50,MATCH(5,'Hesap'!$P$5:$P$50,0)),"")</x:f>
        <x:v>5</x:v>
      </x:c>
      <x:c r="B14" s="2" t="str">
        <x:f>IFNA(INDEX('Hesap'!$B$5:$B$50,MATCH(5,'Hesap'!$P$5:$P$50,0)),"")</x:f>
        <x:v>G11n QA</x:v>
      </x:c>
      <x:c r="C14" s="23" t="n">
        <x:f>IFNA(INDEX('Hesap'!$D$5:$D$50,MATCH(5,'Hesap'!$P$5:$P$50,0)),"")</x:f>
        <x:v>52.800000000000004</x:v>
      </x:c>
      <x:c r="D14" s="2" t="str">
        <x:f>IFNA(INDEX('Hesap'!$C$5:$C$50,MATCH(5,'Hesap'!$P$5:$P$50,0)),"")</x:f>
        <x:v>Yalnız deney</x:v>
      </x:c>
      <x:c r="E14" s="2" t="n">
        <x:f>IFNA(INDEX('Hesap'!$F$5:$F$50,MATCH(5,'Hesap'!$P$5:$P$50,0)),"")</x:f>
        <x:v>12</x:v>
      </x:c>
      <x:c r="F14" s="2" t="n">
        <x:f>IFNA(INDEX('Hesap'!$G$5:$G$50,MATCH(5,'Hesap'!$P$5:$P$50,0)),"")</x:f>
        <x:v>8</x:v>
      </x:c>
      <x:c r="G14" s="24" t="n">
        <x:f>IFNA(INDEX('Hesap'!$J$5:$J$50,MATCH(5,'Hesap'!$P$5:$P$50,0)),"")</x:f>
        <x:v>864</x:v>
      </x:c>
      <x:c r="H14" s="24" t="n">
        <x:f>IFNA(INDEX('Hesap'!$L$5:$L$50,MATCH(5,'Hesap'!$P$5:$P$50,0)),"")</x:f>
        <x:v>-1011</x:v>
      </x:c>
      <x:c r="I14" s="2" t="n">
        <x:f>IFNA(INDEX('Hesap'!$Q$5:$Q$50,MATCH(5,'Hesap'!$P$5:$P$50,0)),"")</x:f>
        <x:v>6</x:v>
      </x:c>
      <x:c r="J14" s="2"/>
      <x:c r="K14" s="2" t="n">
        <x:v>5</x:v>
      </x:c>
      <x:c r="L14" s="2" t="str">
        <x:f>INDEX('Hesap'!$B$5:$B$50,MATCH(K14,'Hesap'!$Q$5:$Q$50,0))</x:f>
        <x:v>Strateji seçenek karşılaştırma</x:v>
      </x:c>
      <x:c r="M14" s="23" t="n">
        <x:f>INDEX('Hesap'!$E$5:$E$50,MATCH(K14,'Hesap'!$Q$5:$Q$50,0))</x:f>
        <x:v>52.000000000000014</x:v>
      </x:c>
      <x:c r="N14" s="2" t="str">
        <x:f>INDEX('Hesap'!$C$5:$C$50,MATCH(K14,'Hesap'!$Q$5:$Q$50,0))</x:f>
        <x:v>Yalnız deney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24" customHeight="1">
      <x:c r="A15" s="2" t="n">
        <x:f>IFNA(INDEX('Hesap'!$P$5:$P$50,MATCH(6,'Hesap'!$P$5:$P$50,0)),"")</x:f>
        <x:v>6</x:v>
      </x:c>
      <x:c r="B15" s="2" t="str">
        <x:f>IFNA(INDEX('Hesap'!$B$5:$B$50,MATCH(6,'Hesap'!$P$5:$P$50,0)),"")</x:f>
        <x:v>DestekTeşvik</x:v>
      </x:c>
      <x:c r="C15" s="23" t="n">
        <x:f>IFNA(INDEX('Hesap'!$D$5:$D$50,MATCH(6,'Hesap'!$P$5:$P$50,0)),"")</x:f>
        <x:v>52.6</x:v>
      </x:c>
      <x:c r="D15" s="2" t="str">
        <x:f>IFNA(INDEX('Hesap'!$C$5:$C$50,MATCH(6,'Hesap'!$P$5:$P$50,0)),"")</x:f>
        <x:v>Yalnız deney</x:v>
      </x:c>
      <x:c r="E15" s="2" t="n">
        <x:f>IFNA(INDEX('Hesap'!$F$5:$F$50,MATCH(6,'Hesap'!$P$5:$P$50,0)),"")</x:f>
        <x:v>20</x:v>
      </x:c>
      <x:c r="F15" s="2" t="n">
        <x:f>IFNA(INDEX('Hesap'!$G$5:$G$50,MATCH(6,'Hesap'!$P$5:$P$50,0)),"")</x:f>
        <x:v>17</x:v>
      </x:c>
      <x:c r="G15" s="24" t="n">
        <x:f>IFNA(INDEX('Hesap'!$J$5:$J$50,MATCH(6,'Hesap'!$P$5:$P$50,0)),"")</x:f>
        <x:v>1755.1999999999998</x:v>
      </x:c>
      <x:c r="H15" s="24" t="n">
        <x:f>IFNA(INDEX('Hesap'!$L$5:$L$50,MATCH(6,'Hesap'!$P$5:$P$50,0)),"")</x:f>
        <x:v>-789.8000000000006</x:v>
      </x:c>
      <x:c r="I15" s="2" t="n">
        <x:f>IFNA(INDEX('Hesap'!$Q$5:$Q$50,MATCH(6,'Hesap'!$P$5:$P$50,0)),"")</x:f>
        <x:v>7</x:v>
      </x:c>
      <x:c r="J15" s="2"/>
      <x:c r="K15" s="2" t="n">
        <x:v>6</x:v>
      </x:c>
      <x:c r="L15" s="2" t="str">
        <x:f>INDEX('Hesap'!$B$5:$B$50,MATCH(K15,'Hesap'!$Q$5:$Q$50,0))</x:f>
        <x:v>G11n QA</x:v>
      </x:c>
      <x:c r="M15" s="23" t="n">
        <x:f>INDEX('Hesap'!$E$5:$E$50,MATCH(K15,'Hesap'!$Q$5:$Q$50,0))</x:f>
        <x:v>51.9</x:v>
      </x:c>
      <x:c r="N15" s="2" t="str">
        <x:f>INDEX('Hesap'!$C$5:$C$50,MATCH(K15,'Hesap'!$Q$5:$Q$50,0))</x:f>
        <x:v>Yalnız deney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24" customHeight="1">
      <x:c r="A16" s="2" t="n">
        <x:f>IFNA(INDEX('Hesap'!$P$5:$P$50,MATCH(7,'Hesap'!$P$5:$P$50,0)),"")</x:f>
        <x:v>7</x:v>
      </x:c>
      <x:c r="B16" s="2" t="str">
        <x:f>IFNA(INDEX('Hesap'!$B$5:$B$50,MATCH(7,'Hesap'!$P$5:$P$50,0)),"")</x:f>
        <x:v>Luquit entegrasyon</x:v>
      </x:c>
      <x:c r="C16" s="23" t="n">
        <x:f>IFNA(INDEX('Hesap'!$D$5:$D$50,MATCH(7,'Hesap'!$P$5:$P$50,0)),"")</x:f>
        <x:v>52.500000000000014</x:v>
      </x:c>
      <x:c r="D16" s="2" t="str">
        <x:f>IFNA(INDEX('Hesap'!$C$5:$C$50,MATCH(7,'Hesap'!$P$5:$P$50,0)),"")</x:f>
        <x:v>Yalnız deney</x:v>
      </x:c>
      <x:c r="E16" s="2" t="n">
        <x:f>IFNA(INDEX('Hesap'!$F$5:$F$50,MATCH(7,'Hesap'!$P$5:$P$50,0)),"")</x:f>
        <x:v>46</x:v>
      </x:c>
      <x:c r="F16" s="2" t="n">
        <x:f>IFNA(INDEX('Hesap'!$G$5:$G$50,MATCH(7,'Hesap'!$P$5:$P$50,0)),"")</x:f>
        <x:v>98</x:v>
      </x:c>
      <x:c r="G16" s="24" t="n">
        <x:f>IFNA(INDEX('Hesap'!$J$5:$J$50,MATCH(7,'Hesap'!$P$5:$P$50,0)),"")</x:f>
        <x:v>913.5</x:v>
      </x:c>
      <x:c r="H16" s="24" t="n">
        <x:f>IFNA(INDEX('Hesap'!$L$5:$L$50,MATCH(7,'Hesap'!$P$5:$P$50,0)),"")</x:f>
        <x:v>-555.25</x:v>
      </x:c>
      <x:c r="I16" s="2" t="n">
        <x:f>IFNA(INDEX('Hesap'!$Q$5:$Q$50,MATCH(7,'Hesap'!$P$5:$P$50,0)),"")</x:f>
        <x:v>4</x:v>
      </x:c>
      <x:c r="J16" s="2"/>
      <x:c r="K16" s="2" t="n">
        <x:v>7</x:v>
      </x:c>
      <x:c r="L16" s="2" t="str">
        <x:f>INDEX('Hesap'!$B$5:$B$50,MATCH(K16,'Hesap'!$Q$5:$Q$50,0))</x:f>
        <x:v>DestekTeşvik</x:v>
      </x:c>
      <x:c r="M16" s="23" t="n">
        <x:f>INDEX('Hesap'!$E$5:$E$50,MATCH(K16,'Hesap'!$Q$5:$Q$50,0))</x:f>
        <x:v>51.300000000000004</x:v>
      </x:c>
      <x:c r="N16" s="2" t="str">
        <x:f>INDEX('Hesap'!$C$5:$C$50,MATCH(K16,'Hesap'!$Q$5:$Q$50,0))</x:f>
        <x:v>Yalnız deney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24" customHeight="1">
      <x:c r="A17" s="2" t="n">
        <x:f>IFNA(INDEX('Hesap'!$P$5:$P$50,MATCH(8,'Hesap'!$P$5:$P$50,0)),"")</x:f>
        <x:v>8</x:v>
      </x:c>
      <x:c r="B17" s="2" t="str">
        <x:f>IFNA(INDEX('Hesap'!$B$5:$B$50,MATCH(8,'Hesap'!$P$5:$P$50,0)),"")</x:f>
        <x:v>Signator takım teslimi</x:v>
      </x:c>
      <x:c r="C17" s="23" t="n">
        <x:f>IFNA(INDEX('Hesap'!$D$5:$D$50,MATCH(8,'Hesap'!$P$5:$P$50,0)),"")</x:f>
        <x:v>52.400000000000006</x:v>
      </x:c>
      <x:c r="D17" s="2" t="str">
        <x:f>IFNA(INDEX('Hesap'!$C$5:$C$50,MATCH(8,'Hesap'!$P$5:$P$50,0)),"")</x:f>
        <x:v>Yalnız deney</x:v>
      </x:c>
      <x:c r="E17" s="2" t="n">
        <x:f>IFNA(INDEX('Hesap'!$F$5:$F$50,MATCH(8,'Hesap'!$P$5:$P$50,0)),"")</x:f>
        <x:v>419</x:v>
      </x:c>
      <x:c r="F17" s="2" t="n">
        <x:f>IFNA(INDEX('Hesap'!$G$5:$G$50,MATCH(8,'Hesap'!$P$5:$P$50,0)),"")</x:f>
        <x:v>62</x:v>
      </x:c>
      <x:c r="G17" s="24" t="n">
        <x:f>IFNA(INDEX('Hesap'!$J$5:$J$50,MATCH(8,'Hesap'!$P$5:$P$50,0)),"")</x:f>
        <x:v>-99.60000000000002</x:v>
      </x:c>
      <x:c r="H17" s="24" t="n">
        <x:f>IFNA(INDEX('Hesap'!$L$5:$L$50,MATCH(8,'Hesap'!$P$5:$P$50,0)),"")</x:f>
        <x:v>-917.1000000000001</x:v>
      </x:c>
      <x:c r="I17" s="2" t="n">
        <x:f>IFNA(INDEX('Hesap'!$Q$5:$Q$50,MATCH(8,'Hesap'!$P$5:$P$50,0)),"")</x:f>
        <x:v>8</x:v>
      </x:c>
      <x:c r="J17" s="2"/>
      <x:c r="K17" s="2" t="n">
        <x:v>8</x:v>
      </x:c>
      <x:c r="L17" s="2" t="str">
        <x:f>INDEX('Hesap'!$B$5:$B$50,MATCH(K17,'Hesap'!$Q$5:$Q$50,0))</x:f>
        <x:v>Signator takım teslimi</x:v>
      </x:c>
      <x:c r="M17" s="23" t="n">
        <x:f>INDEX('Hesap'!$E$5:$E$50,MATCH(K17,'Hesap'!$Q$5:$Q$50,0))</x:f>
        <x:v>51.1</x:v>
      </x:c>
      <x:c r="N17" s="2" t="str">
        <x:f>INDEX('Hesap'!$C$5:$C$50,MATCH(K17,'Hesap'!$Q$5:$Q$50,0))</x:f>
        <x:v>Yalnız deney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24" customHeight="1">
      <x:c r="A18" s="2" t="n">
        <x:f>IFNA(INDEX('Hesap'!$P$5:$P$50,MATCH(9,'Hesap'!$P$5:$P$50,0)),"")</x:f>
        <x:v>9</x:v>
      </x:c>
      <x:c r="B18" s="2" t="str">
        <x:f>IFNA(INDEX('Hesap'!$B$5:$B$50,MATCH(9,'Hesap'!$P$5:$P$50,0)),"")</x:f>
        <x:v>Kurucu model/sunum</x:v>
      </x:c>
      <x:c r="C18" s="23" t="n">
        <x:f>IFNA(INDEX('Hesap'!$D$5:$D$50,MATCH(9,'Hesap'!$P$5:$P$50,0)),"")</x:f>
        <x:v>52.400000000000006</x:v>
      </x:c>
      <x:c r="D18" s="2" t="str">
        <x:f>IFNA(INDEX('Hesap'!$C$5:$C$50,MATCH(9,'Hesap'!$P$5:$P$50,0)),"")</x:f>
        <x:v>Yalnız deney</x:v>
      </x:c>
      <x:c r="E18" s="2" t="n">
        <x:f>IFNA(INDEX('Hesap'!$F$5:$F$50,MATCH(9,'Hesap'!$P$5:$P$50,0)),"")</x:f>
        <x:v>5</x:v>
      </x:c>
      <x:c r="F18" s="2" t="n">
        <x:f>IFNA(INDEX('Hesap'!$G$5:$G$50,MATCH(9,'Hesap'!$P$5:$P$50,0)),"")</x:f>
        <x:v>5</x:v>
      </x:c>
      <x:c r="G18" s="24" t="n">
        <x:f>IFNA(INDEX('Hesap'!$J$5:$J$50,MATCH(9,'Hesap'!$P$5:$P$50,0)),"")</x:f>
        <x:v>1998</x:v>
      </x:c>
      <x:c r="H18" s="24" t="n">
        <x:f>IFNA(INDEX('Hesap'!$L$5:$L$50,MATCH(9,'Hesap'!$P$5:$P$50,0)),"")</x:f>
        <x:v>-89.5</x:v>
      </x:c>
      <x:c r="I18" s="2" t="n">
        <x:f>IFNA(INDEX('Hesap'!$Q$5:$Q$50,MATCH(9,'Hesap'!$P$5:$P$50,0)),"")</x:f>
        <x:v>9</x:v>
      </x:c>
      <x:c r="J18" s="2"/>
      <x:c r="K18" s="2" t="n">
        <x:v>9</x:v>
      </x:c>
      <x:c r="L18" s="2" t="str">
        <x:f>INDEX('Hesap'!$B$5:$B$50,MATCH(K18,'Hesap'!$Q$5:$Q$50,0))</x:f>
        <x:v>Kurucu model/sunum</x:v>
      </x:c>
      <x:c r="M18" s="23" t="n">
        <x:f>INDEX('Hesap'!$E$5:$E$50,MATCH(K18,'Hesap'!$Q$5:$Q$50,0))</x:f>
        <x:v>51.1</x:v>
      </x:c>
      <x:c r="N18" s="2" t="str">
        <x:f>INDEX('Hesap'!$C$5:$C$50,MATCH(K18,'Hesap'!$Q$5:$Q$50,0))</x:f>
        <x:v>Yalnız deney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24" customHeight="1">
      <x:c r="A19" s="2" t="n">
        <x:f>IFNA(INDEX('Hesap'!$P$5:$P$50,MATCH(10,'Hesap'!$P$5:$P$50,0)),"")</x:f>
        <x:v>10</x:v>
      </x:c>
      <x:c r="B19" s="2" t="str">
        <x:f>IFNA(INDEX('Hesap'!$B$5:$B$50,MATCH(10,'Hesap'!$P$5:$P$50,0)),"")</x:f>
        <x:v>Çok dilli üretici site</x:v>
      </x:c>
      <x:c r="C19" s="23" t="n">
        <x:f>IFNA(INDEX('Hesap'!$D$5:$D$50,MATCH(10,'Hesap'!$P$5:$P$50,0)),"")</x:f>
        <x:v>51.6</x:v>
      </x:c>
      <x:c r="D19" s="2" t="str">
        <x:f>IFNA(INDEX('Hesap'!$C$5:$C$50,MATCH(10,'Hesap'!$P$5:$P$50,0)),"")</x:f>
        <x:v>Yalnız deney</x:v>
      </x:c>
      <x:c r="E19" s="2" t="n">
        <x:f>IFNA(INDEX('Hesap'!$F$5:$F$50,MATCH(10,'Hesap'!$P$5:$P$50,0)),"")</x:f>
        <x:v>3</x:v>
      </x:c>
      <x:c r="F19" s="2" t="n">
        <x:f>IFNA(INDEX('Hesap'!$G$5:$G$50,MATCH(10,'Hesap'!$P$5:$P$50,0)),"")</x:f>
        <x:v>2</x:v>
      </x:c>
      <x:c r="G19" s="24" t="n">
        <x:f>IFNA(INDEX('Hesap'!$J$5:$J$50,MATCH(10,'Hesap'!$P$5:$P$50,0)),"")</x:f>
        <x:v>2944</x:v>
      </x:c>
      <x:c r="H19" s="24" t="n">
        <x:f>IFNA(INDEX('Hesap'!$L$5:$L$50,MATCH(10,'Hesap'!$P$5:$P$50,0)),"")</x:f>
        <x:v>356.5</x:v>
      </x:c>
      <x:c r="I19" s="2" t="n">
        <x:f>IFNA(INDEX('Hesap'!$Q$5:$Q$50,MATCH(10,'Hesap'!$P$5:$P$50,0)),"")</x:f>
        <x:v>13</x:v>
      </x:c>
      <x:c r="J19" s="2"/>
      <x:c r="K19" s="2" t="n">
        <x:v>10</x:v>
      </x:c>
      <x:c r="L19" s="2" t="str">
        <x:f>INDEX('Hesap'!$B$5:$B$50,MATCH(K19,'Hesap'!$Q$5:$Q$50,0))</x:f>
        <x:v>Actionplan</x:v>
      </x:c>
      <x:c r="M19" s="23" t="n">
        <x:f>INDEX('Hesap'!$E$5:$E$50,MATCH(K19,'Hesap'!$Q$5:$Q$50,0))</x:f>
        <x:v>50.6</x:v>
      </x:c>
      <x:c r="N19" s="2" t="str">
        <x:f>INDEX('Hesap'!$C$5:$C$50,MATCH(K19,'Hesap'!$Q$5:$Q$50,0))</x:f>
        <x:v>Yalnız deney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24" customHeight="1">
      <x:c r="A20" s="2" t="n">
        <x:f>IFNA(INDEX('Hesap'!$P$5:$P$50,MATCH(11,'Hesap'!$P$5:$P$50,0)),"")</x:f>
        <x:v>11</x:v>
      </x:c>
      <x:c r="B20" s="2" t="str">
        <x:f>IFNA(INDEX('Hesap'!$B$5:$B$50,MATCH(11,'Hesap'!$P$5:$P$50,0)),"")</x:f>
        <x:v>Viseos operasyon</x:v>
      </x:c>
      <x:c r="C20" s="23" t="n">
        <x:f>IFNA(INDEX('Hesap'!$D$5:$D$50,MATCH(11,'Hesap'!$P$5:$P$50,0)),"")</x:f>
        <x:v>51.4</x:v>
      </x:c>
      <x:c r="D20" s="2" t="str">
        <x:f>IFNA(INDEX('Hesap'!$C$5:$C$50,MATCH(11,'Hesap'!$P$5:$P$50,0)),"")</x:f>
        <x:v>Yalnız deney</x:v>
      </x:c>
      <x:c r="E20" s="2" t="n">
        <x:f>IFNA(INDEX('Hesap'!$F$5:$F$50,MATCH(11,'Hesap'!$P$5:$P$50,0)),"")</x:f>
        <x:v>50</x:v>
      </x:c>
      <x:c r="F20" s="2" t="n">
        <x:f>IFNA(INDEX('Hesap'!$G$5:$G$50,MATCH(11,'Hesap'!$P$5:$P$50,0)),"")</x:f>
        <x:v>7</x:v>
      </x:c>
      <x:c r="G20" s="24" t="n">
        <x:f>IFNA(INDEX('Hesap'!$J$5:$J$50,MATCH(11,'Hesap'!$P$5:$P$50,0)),"")</x:f>
        <x:v>104.39000000000038</x:v>
      </x:c>
      <x:c r="H20" s="24" t="n">
        <x:f>IFNA(INDEX('Hesap'!$L$5:$L$50,MATCH(11,'Hesap'!$P$5:$P$50,0)),"")</x:f>
        <x:v>-3135.61</x:v>
      </x:c>
      <x:c r="I20" s="2" t="n">
        <x:f>IFNA(INDEX('Hesap'!$Q$5:$Q$50,MATCH(11,'Hesap'!$P$5:$P$50,0)),"")</x:f>
        <x:v>11</x:v>
      </x:c>
      <x:c r="J20" s="2"/>
      <x:c r="K20" s="2" t="n">
        <x:v>11</x:v>
      </x:c>
      <x:c r="L20" s="2" t="str">
        <x:f>INDEX('Hesap'!$B$5:$B$50,MATCH(K20,'Hesap'!$Q$5:$Q$50,0))</x:f>
        <x:v>Viseos operasyon</x:v>
      </x:c>
      <x:c r="M20" s="23" t="n">
        <x:f>INDEX('Hesap'!$E$5:$E$50,MATCH(K20,'Hesap'!$Q$5:$Q$50,0))</x:f>
        <x:v>50.5</x:v>
      </x:c>
      <x:c r="N20" s="2" t="str">
        <x:f>INDEX('Hesap'!$C$5:$C$50,MATCH(K20,'Hesap'!$Q$5:$Q$50,0))</x:f>
        <x:v>Yalnız deney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24" customHeight="1">
      <x:c r="A21" s="2" t="n">
        <x:f>IFNA(INDEX('Hesap'!$P$5:$P$50,MATCH(12,'Hesap'!$P$5:$P$50,0)),"")</x:f>
        <x:v>12</x:v>
      </x:c>
      <x:c r="B21" s="2" t="str">
        <x:f>IFNA(INDEX('Hesap'!$B$5:$B$50,MATCH(12,'Hesap'!$P$5:$P$50,0)),"")</x:f>
        <x:v>Actionplan</x:v>
      </x:c>
      <x:c r="C21" s="23" t="n">
        <x:f>IFNA(INDEX('Hesap'!$D$5:$D$50,MATCH(12,'Hesap'!$P$5:$P$50,0)),"")</x:f>
        <x:v>51.300000000000004</x:v>
      </x:c>
      <x:c r="D21" s="2" t="str">
        <x:f>IFNA(INDEX('Hesap'!$C$5:$C$50,MATCH(12,'Hesap'!$P$5:$P$50,0)),"")</x:f>
        <x:v>Yalnız deney</x:v>
      </x:c>
      <x:c r="E21" s="2" t="n">
        <x:f>IFNA(INDEX('Hesap'!$F$5:$F$50,MATCH(12,'Hesap'!$P$5:$P$50,0)),"")</x:f>
        <x:v>95</x:v>
      </x:c>
      <x:c r="F21" s="2" t="n">
        <x:f>IFNA(INDEX('Hesap'!$G$5:$G$50,MATCH(12,'Hesap'!$P$5:$P$50,0)),"")</x:f>
        <x:v>177</x:v>
      </x:c>
      <x:c r="G21" s="24" t="n">
        <x:f>IFNA(INDEX('Hesap'!$J$5:$J$50,MATCH(12,'Hesap'!$P$5:$P$50,0)),"")</x:f>
        <x:v>373.4999999999999</x:v>
      </x:c>
      <x:c r="H21" s="24" t="n">
        <x:f>IFNA(INDEX('Hesap'!$L$5:$L$50,MATCH(12,'Hesap'!$P$5:$P$50,0)),"")</x:f>
        <x:v>-1045.25</x:v>
      </x:c>
      <x:c r="I21" s="2" t="n">
        <x:f>IFNA(INDEX('Hesap'!$Q$5:$Q$50,MATCH(12,'Hesap'!$P$5:$P$50,0)),"")</x:f>
        <x:v>10</x:v>
      </x:c>
      <x:c r="J21" s="2"/>
      <x:c r="K21" s="2" t="n">
        <x:v>12</x:v>
      </x:c>
      <x:c r="L21" s="2" t="str">
        <x:f>INDEX('Hesap'!$B$5:$B$50,MATCH(K21,'Hesap'!$Q$5:$Q$50,0))</x:f>
        <x:v>Keşif sihirbazı</x:v>
      </x:c>
      <x:c r="M21" s="23" t="n">
        <x:f>INDEX('Hesap'!$E$5:$E$50,MATCH(K21,'Hesap'!$Q$5:$Q$50,0))</x:f>
        <x:v>50.3</x:v>
      </x:c>
      <x:c r="N21" s="2" t="str">
        <x:f>INDEX('Hesap'!$C$5:$C$50,MATCH(K21,'Hesap'!$Q$5:$Q$50,0))</x:f>
        <x:v>Yalnız deney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 t="n">
        <x:f>IFNA(INDEX('Hesap'!$P$5:$P$50,MATCH(13,'Hesap'!$P$5:$P$50,0)),"")</x:f>
        <x:v>13</x:v>
      </x:c>
      <x:c r="B22" s="2" t="str">
        <x:f>IFNA(INDEX('Hesap'!$B$5:$B$50,MATCH(13,'Hesap'!$P$5:$P$50,0)),"")</x:f>
        <x:v>Arsam ParselQ</x:v>
      </x:c>
      <x:c r="C22" s="23" t="n">
        <x:f>IFNA(INDEX('Hesap'!$D$5:$D$50,MATCH(13,'Hesap'!$P$5:$P$50,0)),"")</x:f>
        <x:v>50.8</x:v>
      </x:c>
      <x:c r="D22" s="2" t="str">
        <x:f>IFNA(INDEX('Hesap'!$C$5:$C$50,MATCH(13,'Hesap'!$P$5:$P$50,0)),"")</x:f>
        <x:v>Yalnız deney</x:v>
      </x:c>
      <x:c r="E22" s="2" t="n">
        <x:f>IFNA(INDEX('Hesap'!$F$5:$F$50,MATCH(13,'Hesap'!$P$5:$P$50,0)),"")</x:f>
        <x:v>24</x:v>
      </x:c>
      <x:c r="F22" s="2" t="n">
        <x:f>IFNA(INDEX('Hesap'!$G$5:$G$50,MATCH(13,'Hesap'!$P$5:$P$50,0)),"")</x:f>
        <x:v>14</x:v>
      </x:c>
      <x:c r="G22" s="24" t="n">
        <x:f>IFNA(INDEX('Hesap'!$J$5:$J$50,MATCH(13,'Hesap'!$P$5:$P$50,0)),"")</x:f>
        <x:v>1480.3999999999999</x:v>
      </x:c>
      <x:c r="H22" s="24" t="n">
        <x:f>IFNA(INDEX('Hesap'!$L$5:$L$50,MATCH(13,'Hesap'!$P$5:$P$50,0)),"")</x:f>
        <x:v>-1402.1000000000006</x:v>
      </x:c>
      <x:c r="I22" s="2" t="n">
        <x:f>IFNA(INDEX('Hesap'!$Q$5:$Q$50,MATCH(13,'Hesap'!$P$5:$P$50,0)),"")</x:f>
        <x:v>15</x:v>
      </x:c>
      <x:c r="J22" s="2"/>
      <x:c r="K22" s="2" t="n">
        <x:v>13</x:v>
      </x:c>
      <x:c r="L22" s="2" t="str">
        <x:f>INDEX('Hesap'!$B$5:$B$50,MATCH(K22,'Hesap'!$Q$5:$Q$50,0))</x:f>
        <x:v>Çok dilli üretici site</x:v>
      </x:c>
      <x:c r="M22" s="23" t="n">
        <x:f>INDEX('Hesap'!$E$5:$E$50,MATCH(K22,'Hesap'!$Q$5:$Q$50,0))</x:f>
        <x:v>50.3</x:v>
      </x:c>
      <x:c r="N22" s="2" t="str">
        <x:f>INDEX('Hesap'!$C$5:$C$50,MATCH(K22,'Hesap'!$Q$5:$Q$50,0))</x:f>
        <x:v>Yalnız deney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24" customHeight="1">
      <x:c r="A23" s="2" t="n">
        <x:f>IFNA(INDEX('Hesap'!$P$5:$P$50,MATCH(14,'Hesap'!$P$5:$P$50,0)),"")</x:f>
        <x:v>14</x:v>
      </x:c>
      <x:c r="B23" s="2" t="str">
        <x:f>IFNA(INDEX('Hesap'!$B$5:$B$50,MATCH(14,'Hesap'!$P$5:$P$50,0)),"")</x:f>
        <x:v>Keşif sihirbazı</x:v>
      </x:c>
      <x:c r="C23" s="23" t="n">
        <x:f>IFNA(INDEX('Hesap'!$D$5:$D$50,MATCH(14,'Hesap'!$P$5:$P$50,0)),"")</x:f>
        <x:v>50.7</x:v>
      </x:c>
      <x:c r="D23" s="2" t="str">
        <x:f>IFNA(INDEX('Hesap'!$C$5:$C$50,MATCH(14,'Hesap'!$P$5:$P$50,0)),"")</x:f>
        <x:v>Yalnız deney</x:v>
      </x:c>
      <x:c r="E23" s="2" t="n">
        <x:f>IFNA(INDEX('Hesap'!$F$5:$F$50,MATCH(14,'Hesap'!$P$5:$P$50,0)),"")</x:f>
        <x:v>95</x:v>
      </x:c>
      <x:c r="F23" s="2" t="n">
        <x:f>IFNA(INDEX('Hesap'!$G$5:$G$50,MATCH(14,'Hesap'!$P$5:$P$50,0)),"")</x:f>
        <x:v>177</x:v>
      </x:c>
      <x:c r="G23" s="24" t="n">
        <x:f>IFNA(INDEX('Hesap'!$J$5:$J$50,MATCH(14,'Hesap'!$P$5:$P$50,0)),"")</x:f>
        <x:v>373.4999999999999</x:v>
      </x:c>
      <x:c r="H23" s="24" t="n">
        <x:f>IFNA(INDEX('Hesap'!$L$5:$L$50,MATCH(14,'Hesap'!$P$5:$P$50,0)),"")</x:f>
        <x:v>-1045.25</x:v>
      </x:c>
      <x:c r="I23" s="2" t="n">
        <x:f>IFNA(INDEX('Hesap'!$Q$5:$Q$50,MATCH(14,'Hesap'!$P$5:$P$50,0)),"")</x:f>
        <x:v>12</x:v>
      </x:c>
      <x:c r="J23" s="2"/>
      <x:c r="K23" s="2" t="n">
        <x:v>14</x:v>
      </x:c>
      <x:c r="L23" s="2" t="str">
        <x:f>INDEX('Hesap'!$B$5:$B$50,MATCH(K23,'Hesap'!$Q$5:$Q$50,0))</x:f>
        <x:v>Guardian</x:v>
      </x:c>
      <x:c r="M23" s="23" t="n">
        <x:f>INDEX('Hesap'!$E$5:$E$50,MATCH(K23,'Hesap'!$Q$5:$Q$50,0))</x:f>
        <x:v>50.10000000000001</x:v>
      </x:c>
      <x:c r="N23" s="2" t="str">
        <x:f>INDEX('Hesap'!$C$5:$C$50,MATCH(K23,'Hesap'!$Q$5:$Q$50,0))</x:f>
        <x:v>Yalnız deney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24" customHeight="1">
      <x:c r="A24" s="2" t="n">
        <x:f>IFNA(INDEX('Hesap'!$P$5:$P$50,MATCH(15,'Hesap'!$P$5:$P$50,0)),"")</x:f>
        <x:v>15</x:v>
      </x:c>
      <x:c r="B24" s="2" t="str">
        <x:f>IFNA(INDEX('Hesap'!$B$5:$B$50,MATCH(15,'Hesap'!$P$5:$P$50,0)),"")</x:f>
        <x:v>Projector içerik</x:v>
      </x:c>
      <x:c r="C24" s="23" t="n">
        <x:f>IFNA(INDEX('Hesap'!$D$5:$D$50,MATCH(15,'Hesap'!$P$5:$P$50,0)),"")</x:f>
        <x:v>50.6</x:v>
      </x:c>
      <x:c r="D24" s="2" t="str">
        <x:f>IFNA(INDEX('Hesap'!$C$5:$C$50,MATCH(15,'Hesap'!$P$5:$P$50,0)),"")</x:f>
        <x:v>Yalnız deney</x:v>
      </x:c>
      <x:c r="E24" s="2" t="n">
        <x:f>IFNA(INDEX('Hesap'!$F$5:$F$50,MATCH(15,'Hesap'!$P$5:$P$50,0)),"")</x:f>
        <x:v>20</x:v>
      </x:c>
      <x:c r="F24" s="2" t="n">
        <x:f>IFNA(INDEX('Hesap'!$G$5:$G$50,MATCH(15,'Hesap'!$P$5:$P$50,0)),"")</x:f>
        <x:v>19</x:v>
      </x:c>
      <x:c r="G24" s="24" t="n">
        <x:f>IFNA(INDEX('Hesap'!$J$5:$J$50,MATCH(15,'Hesap'!$P$5:$P$50,0)),"")</x:f>
        <x:v>2276.9999999999995</x:v>
      </x:c>
      <x:c r="H24" s="24" t="n">
        <x:f>IFNA(INDEX('Hesap'!$L$5:$L$50,MATCH(15,'Hesap'!$P$5:$P$50,0)),"")</x:f>
        <x:v>-510.50000000000045</x:v>
      </x:c>
      <x:c r="I24" s="2" t="n">
        <x:f>IFNA(INDEX('Hesap'!$Q$5:$Q$50,MATCH(15,'Hesap'!$P$5:$P$50,0)),"")</x:f>
        <x:v>16</x:v>
      </x:c>
      <x:c r="J24" s="2"/>
      <x:c r="K24" s="2" t="n">
        <x:v>15</x:v>
      </x:c>
      <x:c r="L24" s="2" t="str">
        <x:f>INDEX('Hesap'!$B$5:$B$50,MATCH(K24,'Hesap'!$Q$5:$Q$50,0))</x:f>
        <x:v>Arsam ParselQ</x:v>
      </x:c>
      <x:c r="M24" s="23" t="n">
        <x:f>INDEX('Hesap'!$E$5:$E$50,MATCH(K24,'Hesap'!$Q$5:$Q$50,0))</x:f>
        <x:v>49.2</x:v>
      </x:c>
      <x:c r="N24" s="2" t="str">
        <x:f>INDEX('Hesap'!$C$5:$C$50,MATCH(K24,'Hesap'!$Q$5:$Q$50,0))</x:f>
        <x:v>Yalnız deney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24" customHeight="1">
      <x:c r="A25" s="2" t="n">
        <x:f>IFNA(INDEX('Hesap'!$P$5:$P$50,MATCH(16,'Hesap'!$P$5:$P$50,0)),"")</x:f>
        <x:v>16</x:v>
      </x:c>
      <x:c r="B25" s="2" t="str">
        <x:f>IFNA(INDEX('Hesap'!$B$5:$B$50,MATCH(16,'Hesap'!$P$5:$P$50,0)),"")</x:f>
        <x:v>Guardian</x:v>
      </x:c>
      <x:c r="C25" s="23" t="n">
        <x:f>IFNA(INDEX('Hesap'!$D$5:$D$50,MATCH(16,'Hesap'!$P$5:$P$50,0)),"")</x:f>
        <x:v>50.10000000000001</x:v>
      </x:c>
      <x:c r="D25" s="2" t="str">
        <x:f>IFNA(INDEX('Hesap'!$C$5:$C$50,MATCH(16,'Hesap'!$P$5:$P$50,0)),"")</x:f>
        <x:v>Yalnız deney</x:v>
      </x:c>
      <x:c r="E25" s="2" t="n">
        <x:f>IFNA(INDEX('Hesap'!$F$5:$F$50,MATCH(16,'Hesap'!$P$5:$P$50,0)),"")</x:f>
        <x:v>75</x:v>
      </x:c>
      <x:c r="F25" s="2" t="n">
        <x:f>IFNA(INDEX('Hesap'!$G$5:$G$50,MATCH(16,'Hesap'!$P$5:$P$50,0)),"")</x:f>
        <x:v>97</x:v>
      </x:c>
      <x:c r="G25" s="24" t="n">
        <x:f>IFNA(INDEX('Hesap'!$J$5:$J$50,MATCH(16,'Hesap'!$P$5:$P$50,0)),"")</x:f>
        <x:v>508.4999999999999</x:v>
      </x:c>
      <x:c r="H25" s="24" t="n">
        <x:f>IFNA(INDEX('Hesap'!$L$5:$L$50,MATCH(16,'Hesap'!$P$5:$P$50,0)),"")</x:f>
        <x:v>-829.0000000000001</x:v>
      </x:c>
      <x:c r="I25" s="2" t="n">
        <x:f>IFNA(INDEX('Hesap'!$Q$5:$Q$50,MATCH(16,'Hesap'!$P$5:$P$50,0)),"")</x:f>
        <x:v>14</x:v>
      </x:c>
      <x:c r="J25" s="2"/>
      <x:c r="K25" s="2" t="n">
        <x:v>16</x:v>
      </x:c>
      <x:c r="L25" s="2" t="str">
        <x:f>INDEX('Hesap'!$B$5:$B$50,MATCH(K25,'Hesap'!$Q$5:$Q$50,0))</x:f>
        <x:v>Projector içerik</x:v>
      </x:c>
      <x:c r="M25" s="23" t="n">
        <x:f>INDEX('Hesap'!$E$5:$E$50,MATCH(K25,'Hesap'!$Q$5:$Q$50,0))</x:f>
        <x:v>49.00000000000001</x:v>
      </x:c>
      <x:c r="N25" s="2" t="str">
        <x:f>INDEX('Hesap'!$C$5:$C$50,MATCH(K25,'Hesap'!$Q$5:$Q$50,0))</x:f>
        <x:v>Yalnız deney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 t="n">
        <x:f>IFNA(INDEX('Hesap'!$P$5:$P$50,MATCH(17,'Hesap'!$P$5:$P$50,0)),"")</x:f>
        <x:v>17</x:v>
      </x:c>
      <x:c r="B26" s="2" t="str">
        <x:f>IFNA(INDEX('Hesap'!$B$5:$B$50,MATCH(17,'Hesap'!$P$5:$P$50,0)),"")</x:f>
        <x:v>Mimari şema çıktısı</x:v>
      </x:c>
      <x:c r="C26" s="23" t="n">
        <x:f>IFNA(INDEX('Hesap'!$D$5:$D$50,MATCH(17,'Hesap'!$P$5:$P$50,0)),"")</x:f>
        <x:v>49.300000000000004</x:v>
      </x:c>
      <x:c r="D26" s="2" t="str">
        <x:f>IFNA(INDEX('Hesap'!$C$5:$C$50,MATCH(17,'Hesap'!$P$5:$P$50,0)),"")</x:f>
        <x:v>Yalnız deney</x:v>
      </x:c>
      <x:c r="E26" s="2" t="n">
        <x:f>IFNA(INDEX('Hesap'!$F$5:$F$50,MATCH(17,'Hesap'!$P$5:$P$50,0)),"")</x:f>
        <x:v>95</x:v>
      </x:c>
      <x:c r="F26" s="2" t="n">
        <x:f>IFNA(INDEX('Hesap'!$G$5:$G$50,MATCH(17,'Hesap'!$P$5:$P$50,0)),"")</x:f>
        <x:v>177</x:v>
      </x:c>
      <x:c r="G26" s="24" t="n">
        <x:f>IFNA(INDEX('Hesap'!$J$5:$J$50,MATCH(17,'Hesap'!$P$5:$P$50,0)),"")</x:f>
        <x:v>373.4999999999999</x:v>
      </x:c>
      <x:c r="H26" s="24" t="n">
        <x:f>IFNA(INDEX('Hesap'!$L$5:$L$50,MATCH(17,'Hesap'!$P$5:$P$50,0)),"")</x:f>
        <x:v>-1045.25</x:v>
      </x:c>
      <x:c r="I26" s="2" t="n">
        <x:f>IFNA(INDEX('Hesap'!$Q$5:$Q$50,MATCH(17,'Hesap'!$P$5:$P$50,0)),"")</x:f>
        <x:v>17</x:v>
      </x:c>
      <x:c r="J26" s="2"/>
      <x:c r="K26" s="2" t="n">
        <x:v>17</x:v>
      </x:c>
      <x:c r="L26" s="2" t="str">
        <x:f>INDEX('Hesap'!$B$5:$B$50,MATCH(K26,'Hesap'!$Q$5:$Q$50,0))</x:f>
        <x:v>Mimari şema çıktısı</x:v>
      </x:c>
      <x:c r="M26" s="23" t="n">
        <x:f>INDEX('Hesap'!$E$5:$E$50,MATCH(K26,'Hesap'!$Q$5:$Q$50,0))</x:f>
        <x:v>48.99999999999999</x:v>
      </x:c>
      <x:c r="N26" s="2" t="str">
        <x:f>INDEX('Hesap'!$C$5:$C$50,MATCH(K26,'Hesap'!$Q$5:$Q$50,0))</x:f>
        <x:v>Yalnız deney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 t="n">
        <x:f>IFNA(INDEX('Hesap'!$P$5:$P$50,MATCH(18,'Hesap'!$P$5:$P$50,0)),"")</x:f>
        <x:v>18</x:v>
      </x:c>
      <x:c r="B27" s="2" t="str">
        <x:f>IFNA(INDEX('Hesap'!$B$5:$B$50,MATCH(18,'Hesap'!$P$5:$P$50,0)),"")</x:f>
        <x:v>Frontend Atlası</x:v>
      </x:c>
      <x:c r="C27" s="23" t="n">
        <x:f>IFNA(INDEX('Hesap'!$D$5:$D$50,MATCH(18,'Hesap'!$P$5:$P$50,0)),"")</x:f>
        <x:v>49.300000000000004</x:v>
      </x:c>
      <x:c r="D27" s="2" t="str">
        <x:f>IFNA(INDEX('Hesap'!$C$5:$C$50,MATCH(18,'Hesap'!$P$5:$P$50,0)),"")</x:f>
        <x:v>Yalnız deney</x:v>
      </x:c>
      <x:c r="E27" s="2" t="n">
        <x:f>IFNA(INDEX('Hesap'!$F$5:$F$50,MATCH(18,'Hesap'!$P$5:$P$50,0)),"")</x:f>
        <x:v>95</x:v>
      </x:c>
      <x:c r="F27" s="2" t="n">
        <x:f>IFNA(INDEX('Hesap'!$G$5:$G$50,MATCH(18,'Hesap'!$P$5:$P$50,0)),"")</x:f>
        <x:v>177</x:v>
      </x:c>
      <x:c r="G27" s="24" t="n">
        <x:f>IFNA(INDEX('Hesap'!$J$5:$J$50,MATCH(18,'Hesap'!$P$5:$P$50,0)),"")</x:f>
        <x:v>373.4999999999999</x:v>
      </x:c>
      <x:c r="H27" s="24" t="n">
        <x:f>IFNA(INDEX('Hesap'!$L$5:$L$50,MATCH(18,'Hesap'!$P$5:$P$50,0)),"")</x:f>
        <x:v>-1045.25</x:v>
      </x:c>
      <x:c r="I27" s="2" t="n">
        <x:f>IFNA(INDEX('Hesap'!$Q$5:$Q$50,MATCH(18,'Hesap'!$P$5:$P$50,0)),"")</x:f>
        <x:v>18</x:v>
      </x:c>
      <x:c r="J27" s="2"/>
      <x:c r="K27" s="2" t="n">
        <x:v>18</x:v>
      </x:c>
      <x:c r="L27" s="2" t="str">
        <x:f>INDEX('Hesap'!$B$5:$B$50,MATCH(K27,'Hesap'!$Q$5:$Q$50,0))</x:f>
        <x:v>Frontend Atlası</x:v>
      </x:c>
      <x:c r="M27" s="23" t="n">
        <x:f>INDEX('Hesap'!$E$5:$E$50,MATCH(K27,'Hesap'!$Q$5:$Q$50,0))</x:f>
        <x:v>48.99999999999999</x:v>
      </x:c>
      <x:c r="N27" s="2" t="str">
        <x:f>INDEX('Hesap'!$C$5:$C$50,MATCH(K27,'Hesap'!$Q$5:$Q$50,0))</x:f>
        <x:v>Yalnız deney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 t="n">
        <x:f>IFNA(INDEX('Hesap'!$P$5:$P$50,MATCH(19,'Hesap'!$P$5:$P$50,0)),"")</x:f>
        <x:v>19</x:v>
      </x:c>
      <x:c r="B28" s="2" t="str">
        <x:f>IFNA(INDEX('Hesap'!$B$5:$B$50,MATCH(19,'Hesap'!$P$5:$P$50,0)),"")</x:f>
        <x:v>Özgün karar notu</x:v>
      </x:c>
      <x:c r="C28" s="23" t="n">
        <x:f>IFNA(INDEX('Hesap'!$D$5:$D$50,MATCH(19,'Hesap'!$P$5:$P$50,0)),"")</x:f>
        <x:v>49.1</x:v>
      </x:c>
      <x:c r="D28" s="2" t="str">
        <x:f>IFNA(INDEX('Hesap'!$C$5:$C$50,MATCH(19,'Hesap'!$P$5:$P$50,0)),"")</x:f>
        <x:v>Yalnız deney</x:v>
      </x:c>
      <x:c r="E28" s="2" t="n">
        <x:f>IFNA(INDEX('Hesap'!$F$5:$F$50,MATCH(19,'Hesap'!$P$5:$P$50,0)),"")</x:f>
        <x:v>26</x:v>
      </x:c>
      <x:c r="F28" s="2" t="n">
        <x:f>IFNA(INDEX('Hesap'!$G$5:$G$50,MATCH(19,'Hesap'!$P$5:$P$50,0)),"")</x:f>
        <x:v>22</x:v>
      </x:c>
      <x:c r="G28" s="24" t="n">
        <x:f>IFNA(INDEX('Hesap'!$J$5:$J$50,MATCH(19,'Hesap'!$P$5:$P$50,0)),"")</x:f>
        <x:v>1325.6</x:v>
      </x:c>
      <x:c r="H28" s="24" t="n">
        <x:f>IFNA(INDEX('Hesap'!$L$5:$L$50,MATCH(19,'Hesap'!$P$5:$P$50,0)),"")</x:f>
        <x:v>-806.9000000000005</x:v>
      </x:c>
      <x:c r="I28" s="2" t="n">
        <x:f>IFNA(INDEX('Hesap'!$Q$5:$Q$50,MATCH(19,'Hesap'!$P$5:$P$50,0)),"")</x:f>
        <x:v>19</x:v>
      </x:c>
      <x:c r="J28" s="2"/>
      <x:c r="K28" s="2" t="n">
        <x:v>19</x:v>
      </x:c>
      <x:c r="L28" s="2" t="str">
        <x:f>INDEX('Hesap'!$B$5:$B$50,MATCH(K28,'Hesap'!$Q$5:$Q$50,0))</x:f>
        <x:v>Özgün karar notu</x:v>
      </x:c>
      <x:c r="M28" s="23" t="n">
        <x:f>INDEX('Hesap'!$E$5:$E$50,MATCH(K28,'Hesap'!$Q$5:$Q$50,0))</x:f>
        <x:v>48.00000000000001</x:v>
      </x:c>
      <x:c r="N28" s="2" t="str">
        <x:f>INDEX('Hesap'!$C$5:$C$50,MATCH(K28,'Hesap'!$Q$5:$Q$50,0))</x:f>
        <x:v>Yalnız deney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 t="n">
        <x:f>IFNA(INDEX('Hesap'!$P$5:$P$50,MATCH(20,'Hesap'!$P$5:$P$50,0)),"")</x:f>
        <x:v>20</x:v>
      </x:c>
      <x:c r="B29" s="2" t="str">
        <x:f>IFNA(INDEX('Hesap'!$B$5:$B$50,MATCH(20,'Hesap'!$P$5:$P$50,0)),"")</x:f>
        <x:v>AtonotA AgencyOps</x:v>
      </x:c>
      <x:c r="C29" s="23" t="n">
        <x:f>IFNA(INDEX('Hesap'!$D$5:$D$50,MATCH(20,'Hesap'!$P$5:$P$50,0)),"")</x:f>
        <x:v>48.40000000000001</x:v>
      </x:c>
      <x:c r="D29" s="2" t="str">
        <x:f>IFNA(INDEX('Hesap'!$C$5:$C$50,MATCH(20,'Hesap'!$P$5:$P$50,0)),"")</x:f>
        <x:v>Yalnız deney</x:v>
      </x:c>
      <x:c r="E29" s="2" t="n">
        <x:f>IFNA(INDEX('Hesap'!$F$5:$F$50,MATCH(20,'Hesap'!$P$5:$P$50,0)),"")</x:f>
        <x:v>49</x:v>
      </x:c>
      <x:c r="F29" s="2" t="n">
        <x:f>IFNA(INDEX('Hesap'!$G$5:$G$50,MATCH(20,'Hesap'!$P$5:$P$50,0)),"")</x:f>
        <x:v>12</x:v>
      </x:c>
      <x:c r="G29" s="24" t="n">
        <x:f>IFNA(INDEX('Hesap'!$J$5:$J$50,MATCH(20,'Hesap'!$P$5:$P$50,0)),"")</x:f>
        <x:v>183.06600000000026</x:v>
      </x:c>
      <x:c r="H29" s="24" t="n">
        <x:f>IFNA(INDEX('Hesap'!$L$5:$L$50,MATCH(20,'Hesap'!$P$5:$P$50,0)),"")</x:f>
        <x:v>-2675.184</x:v>
      </x:c>
      <x:c r="I29" s="2" t="n">
        <x:f>IFNA(INDEX('Hesap'!$Q$5:$Q$50,MATCH(20,'Hesap'!$P$5:$P$50,0)),"")</x:f>
        <x:v>21</x:v>
      </x:c>
      <x:c r="J29" s="2"/>
      <x:c r="K29" s="2" t="n">
        <x:v>20</x:v>
      </x:c>
      <x:c r="L29" s="2" t="str">
        <x:f>INDEX('Hesap'!$B$5:$B$50,MATCH(K29,'Hesap'!$Q$5:$Q$50,0))</x:f>
        <x:v>LifeOS dar çıktı</x:v>
      </x:c>
      <x:c r="M29" s="23" t="n">
        <x:f>INDEX('Hesap'!$E$5:$E$50,MATCH(K29,'Hesap'!$Q$5:$Q$50,0))</x:f>
        <x:v>47.5</x:v>
      </x:c>
      <x:c r="N29" s="2" t="str">
        <x:f>INDEX('Hesap'!$C$5:$C$50,MATCH(K29,'Hesap'!$Q$5:$Q$50,0))</x:f>
        <x:v>Yalnız deney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 t="n">
        <x:f>IFNA(INDEX('Hesap'!$P$5:$P$50,MATCH(21,'Hesap'!$P$5:$P$50,0)),"")</x:f>
        <x:v>21</x:v>
      </x:c>
      <x:c r="B30" s="2" t="str">
        <x:f>IFNA(INDEX('Hesap'!$B$5:$B$50,MATCH(21,'Hesap'!$P$5:$P$50,0)),"")</x:f>
        <x:v>CronHR demo kiti</x:v>
      </x:c>
      <x:c r="C30" s="23" t="n">
        <x:f>IFNA(INDEX('Hesap'!$D$5:$D$50,MATCH(21,'Hesap'!$P$5:$P$50,0)),"")</x:f>
        <x:v>47.600000000000016</x:v>
      </x:c>
      <x:c r="D30" s="2" t="str">
        <x:f>IFNA(INDEX('Hesap'!$C$5:$C$50,MATCH(21,'Hesap'!$P$5:$P$50,0)),"")</x:f>
        <x:v>Yalnız deney</x:v>
      </x:c>
      <x:c r="E30" s="2" t="n">
        <x:f>IFNA(INDEX('Hesap'!$F$5:$F$50,MATCH(21,'Hesap'!$P$5:$P$50,0)),"")</x:f>
        <x:v>3</x:v>
      </x:c>
      <x:c r="F30" s="2" t="n">
        <x:f>IFNA(INDEX('Hesap'!$G$5:$G$50,MATCH(21,'Hesap'!$P$5:$P$50,0)),"")</x:f>
        <x:v>2</x:v>
      </x:c>
      <x:c r="G30" s="24" t="n">
        <x:f>IFNA(INDEX('Hesap'!$J$5:$J$50,MATCH(21,'Hesap'!$P$5:$P$50,0)),"")</x:f>
        <x:v>2192</x:v>
      </x:c>
      <x:c r="H30" s="24" t="n">
        <x:f>IFNA(INDEX('Hesap'!$L$5:$L$50,MATCH(21,'Hesap'!$P$5:$P$50,0)),"")</x:f>
        <x:v>-383</x:v>
      </x:c>
      <x:c r="I30" s="2" t="n">
        <x:f>IFNA(INDEX('Hesap'!$Q$5:$Q$50,MATCH(21,'Hesap'!$P$5:$P$50,0)),"")</x:f>
        <x:v>23</x:v>
      </x:c>
      <x:c r="J30" s="2"/>
      <x:c r="K30" s="2" t="n">
        <x:v>21</x:v>
      </x:c>
      <x:c r="L30" s="2" t="str">
        <x:f>INDEX('Hesap'!$B$5:$B$50,MATCH(K30,'Hesap'!$Q$5:$Q$50,0))</x:f>
        <x:v>AtonotA AgencyOps</x:v>
      </x:c>
      <x:c r="M30" s="23" t="n">
        <x:f>INDEX('Hesap'!$E$5:$E$50,MATCH(K30,'Hesap'!$Q$5:$Q$50,0))</x:f>
        <x:v>46.70000000000001</x:v>
      </x:c>
      <x:c r="N30" s="2" t="str">
        <x:f>INDEX('Hesap'!$C$5:$C$50,MATCH(K30,'Hesap'!$Q$5:$Q$50,0))</x:f>
        <x:v>Yalnız deney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 t="n">
        <x:f>IFNA(INDEX('Hesap'!$P$5:$P$50,MATCH(22,'Hesap'!$P$5:$P$50,0)),"")</x:f>
        <x:v>22</x:v>
      </x:c>
      <x:c r="B31" s="2" t="str">
        <x:f>IFNA(INDEX('Hesap'!$B$5:$B$50,MATCH(22,'Hesap'!$P$5:$P$50,0)),"")</x:f>
        <x:v>Üretici dijital başlangıç</x:v>
      </x:c>
      <x:c r="C31" s="23" t="n">
        <x:f>IFNA(INDEX('Hesap'!$D$5:$D$50,MATCH(22,'Hesap'!$P$5:$P$50,0)),"")</x:f>
        <x:v>47.400000000000006</x:v>
      </x:c>
      <x:c r="D31" s="2" t="str">
        <x:f>IFNA(INDEX('Hesap'!$C$5:$C$50,MATCH(22,'Hesap'!$P$5:$P$50,0)),"")</x:f>
        <x:v>Yalnız deney</x:v>
      </x:c>
      <x:c r="E31" s="2" t="n">
        <x:f>IFNA(INDEX('Hesap'!$F$5:$F$50,MATCH(22,'Hesap'!$P$5:$P$50,0)),"")</x:f>
        <x:v>5</x:v>
      </x:c>
      <x:c r="F31" s="2" t="n">
        <x:f>IFNA(INDEX('Hesap'!$G$5:$G$50,MATCH(22,'Hesap'!$P$5:$P$50,0)),"")</x:f>
        <x:v>6</x:v>
      </x:c>
      <x:c r="G31" s="24" t="n">
        <x:f>IFNA(INDEX('Hesap'!$J$5:$J$50,MATCH(22,'Hesap'!$P$5:$P$50,0)),"")</x:f>
        <x:v>1716</x:v>
      </x:c>
      <x:c r="H31" s="24" t="n">
        <x:f>IFNA(INDEX('Hesap'!$L$5:$L$50,MATCH(22,'Hesap'!$P$5:$P$50,0)),"")</x:f>
        <x:v>-221.5</x:v>
      </x:c>
      <x:c r="I31" s="2" t="n">
        <x:f>IFNA(INDEX('Hesap'!$Q$5:$Q$50,MATCH(22,'Hesap'!$P$5:$P$50,0)),"")</x:f>
        <x:v>25</x:v>
      </x:c>
      <x:c r="J31" s="2"/>
      <x:c r="K31" s="2" t="n">
        <x:v>22</x:v>
      </x:c>
      <x:c r="L31" s="2" t="str">
        <x:f>INDEX('Hesap'!$B$5:$B$50,MATCH(K31,'Hesap'!$Q$5:$Q$50,0))</x:f>
        <x:v>AiCommandCard</x:v>
      </x:c>
      <x:c r="M31" s="23" t="n">
        <x:f>INDEX('Hesap'!$E$5:$E$50,MATCH(K31,'Hesap'!$Q$5:$Q$50,0))</x:f>
        <x:v>46.699999999999996</x:v>
      </x:c>
      <x:c r="N31" s="2" t="str">
        <x:f>INDEX('Hesap'!$C$5:$C$50,MATCH(K31,'Hesap'!$Q$5:$Q$50,0))</x:f>
        <x:v>Yalnız deney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 t="n">
        <x:f>IFNA(INDEX('Hesap'!$P$5:$P$50,MATCH(23,'Hesap'!$P$5:$P$50,0)),"")</x:f>
        <x:v>23</x:v>
      </x:c>
      <x:c r="B32" s="2" t="str">
        <x:f>IFNA(INDEX('Hesap'!$B$5:$B$50,MATCH(23,'Hesap'!$P$5:$P$50,0)),"")</x:f>
        <x:v>Woo yorum migration</x:v>
      </x:c>
      <x:c r="C32" s="23" t="n">
        <x:f>IFNA(INDEX('Hesap'!$D$5:$D$50,MATCH(23,'Hesap'!$P$5:$P$50,0)),"")</x:f>
        <x:v>46.99999999999999</x:v>
      </x:c>
      <x:c r="D32" s="2" t="str">
        <x:f>IFNA(INDEX('Hesap'!$C$5:$C$50,MATCH(23,'Hesap'!$P$5:$P$50,0)),"")</x:f>
        <x:v>Yalnız deney</x:v>
      </x:c>
      <x:c r="E32" s="2" t="n">
        <x:f>IFNA(INDEX('Hesap'!$F$5:$F$50,MATCH(23,'Hesap'!$P$5:$P$50,0)),"")</x:f>
        <x:v>33</x:v>
      </x:c>
      <x:c r="F32" s="2" t="n">
        <x:f>IFNA(INDEX('Hesap'!$G$5:$G$50,MATCH(23,'Hesap'!$P$5:$P$50,0)),"")</x:f>
        <x:v>16</x:v>
      </x:c>
      <x:c r="G32" s="24" t="n">
        <x:f>IFNA(INDEX('Hesap'!$J$5:$J$50,MATCH(23,'Hesap'!$P$5:$P$50,0)),"")</x:f>
        <x:v>999.1999999999998</x:v>
      </x:c>
      <x:c r="H32" s="24" t="n">
        <x:f>IFNA(INDEX('Hesap'!$L$5:$L$50,MATCH(23,'Hesap'!$P$5:$P$50,0)),"")</x:f>
        <x:v>-1658.3000000000006</x:v>
      </x:c>
      <x:c r="I32" s="2" t="n">
        <x:f>IFNA(INDEX('Hesap'!$Q$5:$Q$50,MATCH(23,'Hesap'!$P$5:$P$50,0)),"")</x:f>
        <x:v>24</x:v>
      </x:c>
      <x:c r="J32" s="2"/>
      <x:c r="K32" s="2" t="n">
        <x:v>23</x:v>
      </x:c>
      <x:c r="L32" s="2" t="str">
        <x:f>INDEX('Hesap'!$B$5:$B$50,MATCH(K32,'Hesap'!$Q$5:$Q$50,0))</x:f>
        <x:v>CronHR demo kiti</x:v>
      </x:c>
      <x:c r="M32" s="23" t="n">
        <x:f>INDEX('Hesap'!$E$5:$E$50,MATCH(K32,'Hesap'!$Q$5:$Q$50,0))</x:f>
        <x:v>45.7</x:v>
      </x:c>
      <x:c r="N32" s="2" t="str">
        <x:f>INDEX('Hesap'!$C$5:$C$50,MATCH(K32,'Hesap'!$Q$5:$Q$50,0))</x:f>
        <x:v>Yalnız deney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 t="n">
        <x:f>IFNA(INDEX('Hesap'!$P$5:$P$50,MATCH(24,'Hesap'!$P$5:$P$50,0)),"")</x:f>
        <x:v>24</x:v>
      </x:c>
      <x:c r="B33" s="2" t="str">
        <x:f>IFNA(INDEX('Hesap'!$B$5:$B$50,MATCH(24,'Hesap'!$P$5:$P$50,0)),"")</x:f>
        <x:v>Markalı kampanya çıktısı</x:v>
      </x:c>
      <x:c r="C33" s="23" t="n">
        <x:f>IFNA(INDEX('Hesap'!$D$5:$D$50,MATCH(24,'Hesap'!$P$5:$P$50,0)),"")</x:f>
        <x:v>46.80000000000001</x:v>
      </x:c>
      <x:c r="D33" s="2" t="str">
        <x:f>IFNA(INDEX('Hesap'!$C$5:$C$50,MATCH(24,'Hesap'!$P$5:$P$50,0)),"")</x:f>
        <x:v>Yalnız deney</x:v>
      </x:c>
      <x:c r="E33" s="2" t="n">
        <x:f>IFNA(INDEX('Hesap'!$F$5:$F$50,MATCH(24,'Hesap'!$P$5:$P$50,0)),"")</x:f>
        <x:v>12</x:v>
      </x:c>
      <x:c r="F33" s="2" t="n">
        <x:f>IFNA(INDEX('Hesap'!$G$5:$G$50,MATCH(24,'Hesap'!$P$5:$P$50,0)),"")</x:f>
        <x:v>11</x:v>
      </x:c>
      <x:c r="G33" s="24" t="n">
        <x:f>IFNA(INDEX('Hesap'!$J$5:$J$50,MATCH(24,'Hesap'!$P$5:$P$50,0)),"")</x:f>
        <x:v>597</x:v>
      </x:c>
      <x:c r="H33" s="24" t="n">
        <x:f>IFNA(INDEX('Hesap'!$L$5:$L$50,MATCH(24,'Hesap'!$P$5:$P$50,0)),"")</x:f>
        <x:v>-815.5</x:v>
      </x:c>
      <x:c r="I33" s="2" t="n">
        <x:f>IFNA(INDEX('Hesap'!$Q$5:$Q$50,MATCH(24,'Hesap'!$P$5:$P$50,0)),"")</x:f>
        <x:v>30</x:v>
      </x:c>
      <x:c r="J33" s="2"/>
      <x:c r="K33" s="2" t="n">
        <x:v>24</x:v>
      </x:c>
      <x:c r="L33" s="2" t="str">
        <x:f>INDEX('Hesap'!$B$5:$B$50,MATCH(K33,'Hesap'!$Q$5:$Q$50,0))</x:f>
        <x:v>Woo yorum migration</x:v>
      </x:c>
      <x:c r="M33" s="23" t="n">
        <x:f>INDEX('Hesap'!$E$5:$E$50,MATCH(K33,'Hesap'!$Q$5:$Q$50,0))</x:f>
        <x:v>45.699999999999996</x:v>
      </x:c>
      <x:c r="N33" s="2" t="str">
        <x:f>INDEX('Hesap'!$C$5:$C$50,MATCH(K33,'Hesap'!$Q$5:$Q$50,0))</x:f>
        <x:v>Yalnız deney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 t="n">
        <x:f>IFNA(INDEX('Hesap'!$P$5:$P$50,MATCH(25,'Hesap'!$P$5:$P$50,0)),"")</x:f>
        <x:v>25</x:v>
      </x:c>
      <x:c r="B34" s="2" t="str">
        <x:f>IFNA(INDEX('Hesap'!$B$5:$B$50,MATCH(25,'Hesap'!$P$5:$P$50,0)),"")</x:f>
        <x:v>LifeOS dar çıktı</x:v>
      </x:c>
      <x:c r="C34" s="23" t="n">
        <x:f>IFNA(INDEX('Hesap'!$D$5:$D$50,MATCH(25,'Hesap'!$P$5:$P$50,0)),"")</x:f>
        <x:v>46.80000000000001</x:v>
      </x:c>
      <x:c r="D34" s="2" t="str">
        <x:f>IFNA(INDEX('Hesap'!$C$5:$C$50,MATCH(25,'Hesap'!$P$5:$P$50,0)),"")</x:f>
        <x:v>Yalnız deney</x:v>
      </x:c>
      <x:c r="E34" s="2" t="n">
        <x:f>IFNA(INDEX('Hesap'!$F$5:$F$50,MATCH(25,'Hesap'!$P$5:$P$50,0)),"")</x:f>
        <x:v>272</x:v>
      </x:c>
      <x:c r="F34" s="2" t="n">
        <x:f>IFNA(INDEX('Hesap'!$G$5:$G$50,MATCH(25,'Hesap'!$P$5:$P$50,0)),"")</x:f>
        <x:v>195</x:v>
      </x:c>
      <x:c r="G34" s="24" t="n">
        <x:f>IFNA(INDEX('Hesap'!$J$5:$J$50,MATCH(25,'Hesap'!$P$5:$P$50,0)),"")</x:f>
        <x:v>49.49999999999997</x:v>
      </x:c>
      <x:c r="H34" s="24" t="n">
        <x:f>IFNA(INDEX('Hesap'!$L$5:$L$50,MATCH(25,'Hesap'!$P$5:$P$50,0)),"")</x:f>
        <x:v>-1069.25</x:v>
      </x:c>
      <x:c r="I34" s="2" t="n">
        <x:f>IFNA(INDEX('Hesap'!$Q$5:$Q$50,MATCH(25,'Hesap'!$P$5:$P$50,0)),"")</x:f>
        <x:v>20</x:v>
      </x:c>
      <x:c r="J34" s="2"/>
      <x:c r="K34" s="2" t="n">
        <x:v>25</x:v>
      </x:c>
      <x:c r="L34" s="2" t="str">
        <x:f>INDEX('Hesap'!$B$5:$B$50,MATCH(K34,'Hesap'!$Q$5:$Q$50,0))</x:f>
        <x:v>Üretici dijital başlangıç</x:v>
      </x:c>
      <x:c r="M34" s="23" t="n">
        <x:f>INDEX('Hesap'!$E$5:$E$50,MATCH(K34,'Hesap'!$Q$5:$Q$50,0))</x:f>
        <x:v>45.400000000000006</x:v>
      </x:c>
      <x:c r="N34" s="2" t="str">
        <x:f>INDEX('Hesap'!$C$5:$C$50,MATCH(K34,'Hesap'!$Q$5:$Q$50,0))</x:f>
        <x:v>Yalnız deney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 t="n">
        <x:f>IFNA(INDEX('Hesap'!$P$5:$P$50,MATCH(26,'Hesap'!$P$5:$P$50,0)),"")</x:f>
        <x:v>26</x:v>
      </x:c>
      <x:c r="B35" s="2" t="str">
        <x:f>IFNA(INDEX('Hesap'!$B$5:$B$50,MATCH(26,'Hesap'!$P$5:$P$50,0)),"")</x:f>
        <x:v>Titanlar uygulama kohortu</x:v>
      </x:c>
      <x:c r="C35" s="23" t="n">
        <x:f>IFNA(INDEX('Hesap'!$D$5:$D$50,MATCH(26,'Hesap'!$P$5:$P$50,0)),"")</x:f>
        <x:v>46.80000000000001</x:v>
      </x:c>
      <x:c r="D35" s="2" t="str">
        <x:f>IFNA(INDEX('Hesap'!$C$5:$C$50,MATCH(26,'Hesap'!$P$5:$P$50,0)),"")</x:f>
        <x:v>Yalnız deney</x:v>
      </x:c>
      <x:c r="E35" s="2" t="n">
        <x:f>IFNA(INDEX('Hesap'!$F$5:$F$50,MATCH(26,'Hesap'!$P$5:$P$50,0)),"")</x:f>
        <x:v>24</x:v>
      </x:c>
      <x:c r="F35" s="2" t="n">
        <x:f>IFNA(INDEX('Hesap'!$G$5:$G$50,MATCH(26,'Hesap'!$P$5:$P$50,0)),"")</x:f>
        <x:v>13</x:v>
      </x:c>
      <x:c r="G35" s="24" t="n">
        <x:f>IFNA(INDEX('Hesap'!$J$5:$J$50,MATCH(26,'Hesap'!$P$5:$P$50,0)),"")</x:f>
        <x:v>840</x:v>
      </x:c>
      <x:c r="H35" s="24" t="n">
        <x:f>IFNA(INDEX('Hesap'!$L$5:$L$50,MATCH(26,'Hesap'!$P$5:$P$50,0)),"")</x:f>
        <x:v>-1572.5</x:v>
      </x:c>
      <x:c r="I35" s="2" t="n">
        <x:f>IFNA(INDEX('Hesap'!$Q$5:$Q$50,MATCH(26,'Hesap'!$P$5:$P$50,0)),"")</x:f>
        <x:v>28</x:v>
      </x:c>
      <x:c r="J35" s="2"/>
      <x:c r="K35" s="2" t="n">
        <x:v>26</x:v>
      </x:c>
      <x:c r="L35" s="2" t="str">
        <x:f>INDEX('Hesap'!$B$5:$B$50,MATCH(K35,'Hesap'!$Q$5:$Q$50,0))</x:f>
        <x:v>Anonim kurucu şablonu</x:v>
      </x:c>
      <x:c r="M35" s="23" t="n">
        <x:f>INDEX('Hesap'!$E$5:$E$50,MATCH(K35,'Hesap'!$Q$5:$Q$50,0))</x:f>
        <x:v>45.4</x:v>
      </x:c>
      <x:c r="N35" s="2" t="str">
        <x:f>INDEX('Hesap'!$C$5:$C$50,MATCH(K35,'Hesap'!$Q$5:$Q$50,0))</x:f>
        <x:v>Yalnız deney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 t="n">
        <x:f>IFNA(INDEX('Hesap'!$P$5:$P$50,MATCH(27,'Hesap'!$P$5:$P$50,0)),"")</x:f>
        <x:v>27</x:v>
      </x:c>
      <x:c r="B36" s="2" t="str">
        <x:f>IFNA(INDEX('Hesap'!$B$5:$B$50,MATCH(27,'Hesap'!$P$5:$P$50,0)),"")</x:f>
        <x:v>AiCommandCard</x:v>
      </x:c>
      <x:c r="C36" s="23" t="n">
        <x:f>IFNA(INDEX('Hesap'!$D$5:$D$50,MATCH(27,'Hesap'!$P$5:$P$50,0)),"")</x:f>
        <x:v>46.400000000000006</x:v>
      </x:c>
      <x:c r="D36" s="2" t="str">
        <x:f>IFNA(INDEX('Hesap'!$C$5:$C$50,MATCH(27,'Hesap'!$P$5:$P$50,0)),"")</x:f>
        <x:v>Yalnız deney</x:v>
      </x:c>
      <x:c r="E36" s="2" t="n">
        <x:f>IFNA(INDEX('Hesap'!$F$5:$F$50,MATCH(27,'Hesap'!$P$5:$P$50,0)),"")</x:f>
        <x:v>95</x:v>
      </x:c>
      <x:c r="F36" s="2" t="n">
        <x:f>IFNA(INDEX('Hesap'!$G$5:$G$50,MATCH(27,'Hesap'!$P$5:$P$50,0)),"")</x:f>
        <x:v>177</x:v>
      </x:c>
      <x:c r="G36" s="24" t="n">
        <x:f>IFNA(INDEX('Hesap'!$J$5:$J$50,MATCH(27,'Hesap'!$P$5:$P$50,0)),"")</x:f>
        <x:v>373.4999999999999</x:v>
      </x:c>
      <x:c r="H36" s="24" t="n">
        <x:f>IFNA(INDEX('Hesap'!$L$5:$L$50,MATCH(27,'Hesap'!$P$5:$P$50,0)),"")</x:f>
        <x:v>-1045.25</x:v>
      </x:c>
      <x:c r="I36" s="2" t="n">
        <x:f>IFNA(INDEX('Hesap'!$Q$5:$Q$50,MATCH(27,'Hesap'!$P$5:$P$50,0)),"")</x:f>
        <x:v>22</x:v>
      </x:c>
      <x:c r="J36" s="2"/>
      <x:c r="K36" s="2" t="n">
        <x:v>27</x:v>
      </x:c>
      <x:c r="L36" s="2" t="str">
        <x:f>INDEX('Hesap'!$B$5:$B$50,MATCH(K36,'Hesap'!$Q$5:$Q$50,0))</x:f>
        <x:v>Marka kısa liste</x:v>
      </x:c>
      <x:c r="M36" s="23" t="n">
        <x:f>INDEX('Hesap'!$E$5:$E$50,MATCH(K36,'Hesap'!$Q$5:$Q$50,0))</x:f>
        <x:v>45.20000000000001</x:v>
      </x:c>
      <x:c r="N36" s="2" t="str">
        <x:f>INDEX('Hesap'!$C$5:$C$50,MATCH(K36,'Hesap'!$Q$5:$Q$50,0))</x:f>
        <x:v>Yalnız deney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 t="n">
        <x:f>IFNA(INDEX('Hesap'!$P$5:$P$50,MATCH(28,'Hesap'!$P$5:$P$50,0)),"")</x:f>
        <x:v>28</x:v>
      </x:c>
      <x:c r="B37" s="2" t="str">
        <x:f>IFNA(INDEX('Hesap'!$B$5:$B$50,MATCH(28,'Hesap'!$P$5:$P$50,0)),"")</x:f>
        <x:v>Zabuno ana restoran ürünü</x:v>
      </x:c>
      <x:c r="C37" s="23" t="n">
        <x:f>IFNA(INDEX('Hesap'!$D$5:$D$50,MATCH(28,'Hesap'!$P$5:$P$50,0)),"")</x:f>
        <x:v>46.400000000000006</x:v>
      </x:c>
      <x:c r="D37" s="2" t="str">
        <x:f>IFNA(INDEX('Hesap'!$C$5:$C$50,MATCH(28,'Hesap'!$P$5:$P$50,0)),"")</x:f>
        <x:v>Yalnız deney</x:v>
      </x:c>
      <x:c r="E37" s="2" t="n">
        <x:f>IFNA(INDEX('Hesap'!$F$5:$F$50,MATCH(28,'Hesap'!$P$5:$P$50,0)),"")</x:f>
        <x:v>74</x:v>
      </x:c>
      <x:c r="F37" s="2" t="n">
        <x:f>IFNA(INDEX('Hesap'!$G$5:$G$50,MATCH(28,'Hesap'!$P$5:$P$50,0)),"")</x:f>
        <x:v>13</x:v>
      </x:c>
      <x:c r="G37" s="24" t="n">
        <x:f>IFNA(INDEX('Hesap'!$J$5:$J$50,MATCH(28,'Hesap'!$P$5:$P$50,0)),"")</x:f>
        <x:v>-1.0139999999998395</x:v>
      </x:c>
      <x:c r="H37" s="24" t="n">
        <x:f>IFNA(INDEX('Hesap'!$L$5:$L$50,MATCH(28,'Hesap'!$P$5:$P$50,0)),"")</x:f>
        <x:v>-2723.5139999999997</x:v>
      </x:c>
      <x:c r="I37" s="2" t="n">
        <x:f>IFNA(INDEX('Hesap'!$Q$5:$Q$50,MATCH(28,'Hesap'!$P$5:$P$50,0)),"")</x:f>
        <x:v>31</x:v>
      </x:c>
      <x:c r="J37" s="2"/>
      <x:c r="K37" s="2" t="n">
        <x:v>28</x:v>
      </x:c>
      <x:c r="L37" s="2" t="str">
        <x:f>INDEX('Hesap'!$B$5:$B$50,MATCH(K37,'Hesap'!$Q$5:$Q$50,0))</x:f>
        <x:v>Titanlar uygulama kohortu</x:v>
      </x:c>
      <x:c r="M37" s="23" t="n">
        <x:f>INDEX('Hesap'!$E$5:$E$50,MATCH(K37,'Hesap'!$Q$5:$Q$50,0))</x:f>
        <x:v>45.199999999999996</x:v>
      </x:c>
      <x:c r="N37" s="2" t="str">
        <x:f>INDEX('Hesap'!$C$5:$C$50,MATCH(K37,'Hesap'!$Q$5:$Q$50,0))</x:f>
        <x:v>Yalnız deney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 t="n">
        <x:f>IFNA(INDEX('Hesap'!$P$5:$P$50,MATCH(29,'Hesap'!$P$5:$P$50,0)),"")</x:f>
        <x:v>29</x:v>
      </x:c>
      <x:c r="B38" s="2" t="str">
        <x:f>IFNA(INDEX('Hesap'!$B$5:$B$50,MATCH(29,'Hesap'!$P$5:$P$50,0)),"")</x:f>
        <x:v>Kanıtlı yazılım teslimi</x:v>
      </x:c>
      <x:c r="C38" s="23" t="n">
        <x:f>IFNA(INDEX('Hesap'!$D$5:$D$50,MATCH(29,'Hesap'!$P$5:$P$50,0)),"")</x:f>
        <x:v>45.4</x:v>
      </x:c>
      <x:c r="D38" s="2" t="str">
        <x:f>IFNA(INDEX('Hesap'!$C$5:$C$50,MATCH(29,'Hesap'!$P$5:$P$50,0)),"")</x:f>
        <x:v>Yalnız deney</x:v>
      </x:c>
      <x:c r="E38" s="2" t="n">
        <x:f>IFNA(INDEX('Hesap'!$F$5:$F$50,MATCH(29,'Hesap'!$P$5:$P$50,0)),"")</x:f>
        <x:v>2</x:v>
      </x:c>
      <x:c r="F38" s="2" t="n">
        <x:f>IFNA(INDEX('Hesap'!$G$5:$G$50,MATCH(29,'Hesap'!$P$5:$P$50,0)),"")</x:f>
        <x:v>1</x:v>
      </x:c>
      <x:c r="G38" s="24" t="n">
        <x:f>IFNA(INDEX('Hesap'!$J$5:$J$50,MATCH(29,'Hesap'!$P$5:$P$50,0)),"")</x:f>
        <x:v>1540</x:v>
      </x:c>
      <x:c r="H38" s="24" t="n">
        <x:f>IFNA(INDEX('Hesap'!$L$5:$L$50,MATCH(29,'Hesap'!$P$5:$P$50,0)),"")</x:f>
        <x:v>-622.5</x:v>
      </x:c>
      <x:c r="I38" s="2" t="n">
        <x:f>IFNA(INDEX('Hesap'!$Q$5:$Q$50,MATCH(29,'Hesap'!$P$5:$P$50,0)),"")</x:f>
        <x:v>33</x:v>
      </x:c>
      <x:c r="J38" s="2"/>
      <x:c r="K38" s="2" t="n">
        <x:v>29</x:v>
      </x:c>
      <x:c r="L38" s="2" t="str">
        <x:f>INDEX('Hesap'!$B$5:$B$50,MATCH(K38,'Hesap'!$Q$5:$Q$50,0))</x:f>
        <x:v>Ürün/animasyon blokları</x:v>
      </x:c>
      <x:c r="M38" s="23" t="n">
        <x:f>INDEX('Hesap'!$E$5:$E$50,MATCH(K38,'Hesap'!$Q$5:$Q$50,0))</x:f>
        <x:v>45.099999999999994</x:v>
      </x:c>
      <x:c r="N38" s="2" t="str">
        <x:f>INDEX('Hesap'!$C$5:$C$50,MATCH(K38,'Hesap'!$Q$5:$Q$50,0))</x:f>
        <x:v>Yalnız deney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 t="n">
        <x:f>IFNA(INDEX('Hesap'!$P$5:$P$50,MATCH(30,'Hesap'!$P$5:$P$50,0)),"")</x:f>
        <x:v>30</x:v>
      </x:c>
      <x:c r="B39" s="2" t="str">
        <x:f>IFNA(INDEX('Hesap'!$B$5:$B$50,MATCH(30,'Hesap'!$P$5:$P$50,0)),"")</x:f>
        <x:v>Anonim kurucu şablonu</x:v>
      </x:c>
      <x:c r="C39" s="23" t="n">
        <x:f>IFNA(INDEX('Hesap'!$D$5:$D$50,MATCH(30,'Hesap'!$P$5:$P$50,0)),"")</x:f>
        <x:v>45.00000000000001</x:v>
      </x:c>
      <x:c r="D39" s="2" t="str">
        <x:f>IFNA(INDEX('Hesap'!$C$5:$C$50,MATCH(30,'Hesap'!$P$5:$P$50,0)),"")</x:f>
        <x:v>Yalnız deney</x:v>
      </x:c>
      <x:c r="E39" s="2" t="n">
        <x:f>IFNA(INDEX('Hesap'!$F$5:$F$50,MATCH(30,'Hesap'!$P$5:$P$50,0)),"")</x:f>
        <x:v>95</x:v>
      </x:c>
      <x:c r="F39" s="2" t="n">
        <x:f>IFNA(INDEX('Hesap'!$G$5:$G$50,MATCH(30,'Hesap'!$P$5:$P$50,0)),"")</x:f>
        <x:v>177</x:v>
      </x:c>
      <x:c r="G39" s="24" t="n">
        <x:f>IFNA(INDEX('Hesap'!$J$5:$J$50,MATCH(30,'Hesap'!$P$5:$P$50,0)),"")</x:f>
        <x:v>373.4999999999999</x:v>
      </x:c>
      <x:c r="H39" s="24" t="n">
        <x:f>IFNA(INDEX('Hesap'!$L$5:$L$50,MATCH(30,'Hesap'!$P$5:$P$50,0)),"")</x:f>
        <x:v>-1045.25</x:v>
      </x:c>
      <x:c r="I39" s="2" t="n">
        <x:f>IFNA(INDEX('Hesap'!$Q$5:$Q$50,MATCH(30,'Hesap'!$P$5:$P$50,0)),"")</x:f>
        <x:v>26</x:v>
      </x:c>
      <x:c r="J39" s="2"/>
      <x:c r="K39" s="2" t="n">
        <x:v>30</x:v>
      </x:c>
      <x:c r="L39" s="2" t="str">
        <x:f>INDEX('Hesap'!$B$5:$B$50,MATCH(K39,'Hesap'!$Q$5:$Q$50,0))</x:f>
        <x:v>Markalı kampanya çıktısı</x:v>
      </x:c>
      <x:c r="M39" s="23" t="n">
        <x:f>INDEX('Hesap'!$E$5:$E$50,MATCH(K39,'Hesap'!$Q$5:$Q$50,0))</x:f>
        <x:v>44.90000000000001</x:v>
      </x:c>
      <x:c r="N39" s="2" t="str">
        <x:f>INDEX('Hesap'!$C$5:$C$50,MATCH(K39,'Hesap'!$Q$5:$Q$50,0))</x:f>
        <x:v>Yalnız deney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 t="n">
        <x:f>IFNA(INDEX('Hesap'!$P$5:$P$50,MATCH(31,'Hesap'!$P$5:$P$50,0)),"")</x:f>
        <x:v>31</x:v>
      </x:c>
      <x:c r="B40" s="2" t="str">
        <x:f>IFNA(INDEX('Hesap'!$B$5:$B$50,MATCH(31,'Hesap'!$P$5:$P$50,0)),"")</x:f>
        <x:v>Marka kısa liste</x:v>
      </x:c>
      <x:c r="C40" s="23" t="n">
        <x:f>IFNA(INDEX('Hesap'!$D$5:$D$50,MATCH(31,'Hesap'!$P$5:$P$50,0)),"")</x:f>
        <x:v>44.80000000000001</x:v>
      </x:c>
      <x:c r="D40" s="2" t="str">
        <x:f>IFNA(INDEX('Hesap'!$C$5:$C$50,MATCH(31,'Hesap'!$P$5:$P$50,0)),"")</x:f>
        <x:v>Yalnız deney</x:v>
      </x:c>
      <x:c r="E40" s="2" t="n">
        <x:f>IFNA(INDEX('Hesap'!$F$5:$F$50,MATCH(31,'Hesap'!$P$5:$P$50,0)),"")</x:f>
        <x:v>95</x:v>
      </x:c>
      <x:c r="F40" s="2" t="n">
        <x:f>IFNA(INDEX('Hesap'!$G$5:$G$50,MATCH(31,'Hesap'!$P$5:$P$50,0)),"")</x:f>
        <x:v>177</x:v>
      </x:c>
      <x:c r="G40" s="24" t="n">
        <x:f>IFNA(INDEX('Hesap'!$J$5:$J$50,MATCH(31,'Hesap'!$P$5:$P$50,0)),"")</x:f>
        <x:v>373.4999999999999</x:v>
      </x:c>
      <x:c r="H40" s="24" t="n">
        <x:f>IFNA(INDEX('Hesap'!$L$5:$L$50,MATCH(31,'Hesap'!$P$5:$P$50,0)),"")</x:f>
        <x:v>-1045.25</x:v>
      </x:c>
      <x:c r="I40" s="2" t="n">
        <x:f>IFNA(INDEX('Hesap'!$Q$5:$Q$50,MATCH(31,'Hesap'!$P$5:$P$50,0)),"")</x:f>
        <x:v>27</x:v>
      </x:c>
      <x:c r="J40" s="2"/>
      <x:c r="K40" s="2" t="n">
        <x:v>31</x:v>
      </x:c>
      <x:c r="L40" s="2" t="str">
        <x:f>INDEX('Hesap'!$B$5:$B$50,MATCH(K40,'Hesap'!$Q$5:$Q$50,0))</x:f>
        <x:v>Zabuno ana restoran ürünü</x:v>
      </x:c>
      <x:c r="M40" s="23" t="n">
        <x:f>INDEX('Hesap'!$E$5:$E$50,MATCH(K40,'Hesap'!$Q$5:$Q$50,0))</x:f>
        <x:v>44.500000000000014</x:v>
      </x:c>
      <x:c r="N40" s="2" t="str">
        <x:f>INDEX('Hesap'!$C$5:$C$50,MATCH(K40,'Hesap'!$Q$5:$Q$50,0))</x:f>
        <x:v>Yalnız deney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 t="n">
        <x:f>IFNA(INDEX('Hesap'!$P$5:$P$50,MATCH(32,'Hesap'!$P$5:$P$50,0)),"")</x:f>
        <x:v>32</x:v>
      </x:c>
      <x:c r="B41" s="2" t="str">
        <x:f>IFNA(INDEX('Hesap'!$B$5:$B$50,MATCH(32,'Hesap'!$P$5:$P$50,0)),"")</x:f>
        <x:v>AI First EA</x:v>
      </x:c>
      <x:c r="C41" s="23" t="n">
        <x:f>IFNA(INDEX('Hesap'!$D$5:$D$50,MATCH(32,'Hesap'!$P$5:$P$50,0)),"")</x:f>
        <x:v>44.800000000000004</x:v>
      </x:c>
      <x:c r="D41" s="2" t="str">
        <x:f>IFNA(INDEX('Hesap'!$C$5:$C$50,MATCH(32,'Hesap'!$P$5:$P$50,0)),"")</x:f>
        <x:v>Yalnız deney</x:v>
      </x:c>
      <x:c r="E41" s="2" t="n">
        <x:f>IFNA(INDEX('Hesap'!$F$5:$F$50,MATCH(32,'Hesap'!$P$5:$P$50,0)),"")</x:f>
        <x:v>5</x:v>
      </x:c>
      <x:c r="F41" s="2" t="n">
        <x:f>IFNA(INDEX('Hesap'!$G$5:$G$50,MATCH(32,'Hesap'!$P$5:$P$50,0)),"")</x:f>
        <x:v>6</x:v>
      </x:c>
      <x:c r="G41" s="24" t="n">
        <x:f>IFNA(INDEX('Hesap'!$J$5:$J$50,MATCH(32,'Hesap'!$P$5:$P$50,0)),"")</x:f>
        <x:v>1716</x:v>
      </x:c>
      <x:c r="H41" s="24" t="n">
        <x:f>IFNA(INDEX('Hesap'!$L$5:$L$50,MATCH(32,'Hesap'!$P$5:$P$50,0)),"")</x:f>
        <x:v>-221.5</x:v>
      </x:c>
      <x:c r="I41" s="2" t="n">
        <x:f>IFNA(INDEX('Hesap'!$Q$5:$Q$50,MATCH(32,'Hesap'!$P$5:$P$50,0)),"")</x:f>
        <x:v>34</x:v>
      </x:c>
      <x:c r="J41" s="2"/>
      <x:c r="K41" s="2" t="n">
        <x:v>32</x:v>
      </x:c>
      <x:c r="L41" s="2" t="str">
        <x:f>INDEX('Hesap'!$B$5:$B$50,MATCH(K41,'Hesap'!$Q$5:$Q$50,0))</x:f>
        <x:v>WP Türkiye dar niş</x:v>
      </x:c>
      <x:c r="M41" s="23" t="n">
        <x:f>INDEX('Hesap'!$E$5:$E$50,MATCH(K41,'Hesap'!$Q$5:$Q$50,0))</x:f>
        <x:v>44.3</x:v>
      </x:c>
      <x:c r="N41" s="2" t="str">
        <x:f>INDEX('Hesap'!$C$5:$C$50,MATCH(K41,'Hesap'!$Q$5:$Q$50,0))</x:f>
        <x:v>Yalnız deney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 t="n">
        <x:f>IFNA(INDEX('Hesap'!$P$5:$P$50,MATCH(33,'Hesap'!$P$5:$P$50,0)),"")</x:f>
        <x:v>33</x:v>
      </x:c>
      <x:c r="B42" s="2" t="str">
        <x:f>IFNA(INDEX('Hesap'!$B$5:$B$50,MATCH(33,'Hesap'!$P$5:$P$50,0)),"")</x:f>
        <x:v>Ürün/animasyon blokları</x:v>
      </x:c>
      <x:c r="C42" s="23" t="n">
        <x:f>IFNA(INDEX('Hesap'!$D$5:$D$50,MATCH(33,'Hesap'!$P$5:$P$50,0)),"")</x:f>
        <x:v>44.800000000000004</x:v>
      </x:c>
      <x:c r="D42" s="2" t="str">
        <x:f>IFNA(INDEX('Hesap'!$C$5:$C$50,MATCH(33,'Hesap'!$P$5:$P$50,0)),"")</x:f>
        <x:v>Yalnız deney</x:v>
      </x:c>
      <x:c r="E42" s="2" t="n">
        <x:f>IFNA(INDEX('Hesap'!$F$5:$F$50,MATCH(33,'Hesap'!$P$5:$P$50,0)),"")</x:f>
        <x:v>95</x:v>
      </x:c>
      <x:c r="F42" s="2" t="n">
        <x:f>IFNA(INDEX('Hesap'!$G$5:$G$50,MATCH(33,'Hesap'!$P$5:$P$50,0)),"")</x:f>
        <x:v>177</x:v>
      </x:c>
      <x:c r="G42" s="24" t="n">
        <x:f>IFNA(INDEX('Hesap'!$J$5:$J$50,MATCH(33,'Hesap'!$P$5:$P$50,0)),"")</x:f>
        <x:v>373.4999999999999</x:v>
      </x:c>
      <x:c r="H42" s="24" t="n">
        <x:f>IFNA(INDEX('Hesap'!$L$5:$L$50,MATCH(33,'Hesap'!$P$5:$P$50,0)),"")</x:f>
        <x:v>-1045.25</x:v>
      </x:c>
      <x:c r="I42" s="2" t="n">
        <x:f>IFNA(INDEX('Hesap'!$Q$5:$Q$50,MATCH(33,'Hesap'!$P$5:$P$50,0)),"")</x:f>
        <x:v>29</x:v>
      </x:c>
      <x:c r="J42" s="2"/>
      <x:c r="K42" s="2" t="n">
        <x:v>33</x:v>
      </x:c>
      <x:c r="L42" s="2" t="str">
        <x:f>INDEX('Hesap'!$B$5:$B$50,MATCH(K42,'Hesap'!$Q$5:$Q$50,0))</x:f>
        <x:v>Kanıtlı yazılım teslimi</x:v>
      </x:c>
      <x:c r="M42" s="23" t="n">
        <x:f>INDEX('Hesap'!$E$5:$E$50,MATCH(K42,'Hesap'!$Q$5:$Q$50,0))</x:f>
        <x:v>43.3</x:v>
      </x:c>
      <x:c r="N42" s="2" t="str">
        <x:f>INDEX('Hesap'!$C$5:$C$50,MATCH(K42,'Hesap'!$Q$5:$Q$50,0))</x:f>
        <x:v>Yalnız deney</x:v>
      </x:c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 t="n">
        <x:f>IFNA(INDEX('Hesap'!$P$5:$P$50,MATCH(34,'Hesap'!$P$5:$P$50,0)),"")</x:f>
        <x:v>34</x:v>
      </x:c>
      <x:c r="B43" s="2" t="str">
        <x:f>IFNA(INDEX('Hesap'!$B$5:$B$50,MATCH(34,'Hesap'!$P$5:$P$50,0)),"")</x:f>
        <x:v>WP Türkiye dar niş</x:v>
      </x:c>
      <x:c r="C43" s="23" t="n">
        <x:f>IFNA(INDEX('Hesap'!$D$5:$D$50,MATCH(34,'Hesap'!$P$5:$P$50,0)),"")</x:f>
        <x:v>44.00000000000001</x:v>
      </x:c>
      <x:c r="D43" s="2" t="str">
        <x:f>IFNA(INDEX('Hesap'!$C$5:$C$50,MATCH(34,'Hesap'!$P$5:$P$50,0)),"")</x:f>
        <x:v>Yalnız deney</x:v>
      </x:c>
      <x:c r="E43" s="2" t="n">
        <x:f>IFNA(INDEX('Hesap'!$F$5:$F$50,MATCH(34,'Hesap'!$P$5:$P$50,0)),"")</x:f>
        <x:v>147</x:v>
      </x:c>
      <x:c r="F43" s="2" t="n">
        <x:f>IFNA(INDEX('Hesap'!$G$5:$G$50,MATCH(34,'Hesap'!$P$5:$P$50,0)),"")</x:f>
        <x:v>6</x:v>
      </x:c>
      <x:c r="G43" s="24" t="n">
        <x:f>IFNA(INDEX('Hesap'!$J$5:$J$50,MATCH(34,'Hesap'!$P$5:$P$50,0)),"")</x:f>
        <x:v>-232.1799999999999</x:v>
      </x:c>
      <x:c r="H43" s="24" t="n">
        <x:f>IFNA(INDEX('Hesap'!$L$5:$L$50,MATCH(34,'Hesap'!$P$5:$P$50,0)),"")</x:f>
        <x:v>-3414.6800000000003</x:v>
      </x:c>
      <x:c r="I43" s="2" t="n">
        <x:f>IFNA(INDEX('Hesap'!$Q$5:$Q$50,MATCH(34,'Hesap'!$P$5:$P$50,0)),"")</x:f>
        <x:v>32</x:v>
      </x:c>
      <x:c r="J43" s="2"/>
      <x:c r="K43" s="2" t="n">
        <x:v>34</x:v>
      </x:c>
      <x:c r="L43" s="2" t="str">
        <x:f>INDEX('Hesap'!$B$5:$B$50,MATCH(K43,'Hesap'!$Q$5:$Q$50,0))</x:f>
        <x:v>AI First EA</x:v>
      </x:c>
      <x:c r="M43" s="23" t="n">
        <x:f>INDEX('Hesap'!$E$5:$E$50,MATCH(K43,'Hesap'!$Q$5:$Q$50,0))</x:f>
        <x:v>42.800000000000004</x:v>
      </x:c>
      <x:c r="N43" s="2" t="str">
        <x:f>INDEX('Hesap'!$C$5:$C$50,MATCH(K43,'Hesap'!$Q$5:$Q$50,0))</x:f>
        <x:v>Yalnız deney</x:v>
      </x:c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 t="n">
        <x:f>IFNA(INDEX('Hesap'!$P$5:$P$50,MATCH(35,'Hesap'!$P$5:$P$50,0)),"")</x:f>
        <x:v>35</x:v>
      </x:c>
      <x:c r="B44" s="2" t="str">
        <x:f>IFNA(INDEX('Hesap'!$B$5:$B$50,MATCH(35,'Hesap'!$P$5:$P$50,0)),"")</x:f>
        <x:v>Sunum çıktı hizmeti</x:v>
      </x:c>
      <x:c r="C44" s="23" t="n">
        <x:f>IFNA(INDEX('Hesap'!$D$5:$D$50,MATCH(35,'Hesap'!$P$5:$P$50,0)),"")</x:f>
        <x:v>43.800000000000004</x:v>
      </x:c>
      <x:c r="D44" s="2" t="str">
        <x:f>IFNA(INDEX('Hesap'!$C$5:$C$50,MATCH(35,'Hesap'!$P$5:$P$50,0)),"")</x:f>
        <x:v>Yalnız deney</x:v>
      </x:c>
      <x:c r="E44" s="2" t="n">
        <x:f>IFNA(INDEX('Hesap'!$F$5:$F$50,MATCH(35,'Hesap'!$P$5:$P$50,0)),"")</x:f>
        <x:v>10</x:v>
      </x:c>
      <x:c r="F44" s="2" t="n">
        <x:f>IFNA(INDEX('Hesap'!$G$5:$G$50,MATCH(35,'Hesap'!$P$5:$P$50,0)),"")</x:f>
        <x:v>9</x:v>
      </x:c>
      <x:c r="G44" s="24" t="n">
        <x:f>IFNA(INDEX('Hesap'!$J$5:$J$50,MATCH(35,'Hesap'!$P$5:$P$50,0)),"")</x:f>
        <x:v>819</x:v>
      </x:c>
      <x:c r="H44" s="24" t="n">
        <x:f>IFNA(INDEX('Hesap'!$L$5:$L$50,MATCH(35,'Hesap'!$P$5:$P$50,0)),"")</x:f>
        <x:v>-743.5</x:v>
      </x:c>
      <x:c r="I44" s="2" t="n">
        <x:f>IFNA(INDEX('Hesap'!$Q$5:$Q$50,MATCH(35,'Hesap'!$P$5:$P$50,0)),"")</x:f>
        <x:v>35</x:v>
      </x:c>
      <x:c r="J44" s="2"/>
      <x:c r="K44" s="2" t="n">
        <x:v>35</x:v>
      </x:c>
      <x:c r="L44" s="2" t="str">
        <x:f>INDEX('Hesap'!$B$5:$B$50,MATCH(K44,'Hesap'!$Q$5:$Q$50,0))</x:f>
        <x:v>Sunum çıktı hizmeti</x:v>
      </x:c>
      <x:c r="M44" s="23" t="n">
        <x:f>INDEX('Hesap'!$E$5:$E$50,MATCH(K44,'Hesap'!$Q$5:$Q$50,0))</x:f>
        <x:v>42.2</x:v>
      </x:c>
      <x:c r="N44" s="2" t="str">
        <x:f>INDEX('Hesap'!$C$5:$C$50,MATCH(K44,'Hesap'!$Q$5:$Q$50,0))</x:f>
        <x:v>Yalnız deney</x:v>
      </x:c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 t="n">
        <x:f>IFNA(INDEX('Hesap'!$P$5:$P$50,MATCH(36,'Hesap'!$P$5:$P$50,0)),"")</x:f>
        <x:v>36</x:v>
      </x:c>
      <x:c r="B45" s="2" t="str">
        <x:f>IFNA(INDEX('Hesap'!$B$5:$B$50,MATCH(36,'Hesap'!$P$5:$P$50,0)),"")</x:f>
        <x:v>Eklenti keşif paketi</x:v>
      </x:c>
      <x:c r="C45" s="23" t="n">
        <x:f>IFNA(INDEX('Hesap'!$D$5:$D$50,MATCH(36,'Hesap'!$P$5:$P$50,0)),"")</x:f>
        <x:v>41.20000000000001</x:v>
      </x:c>
      <x:c r="D45" s="2" t="str">
        <x:f>IFNA(INDEX('Hesap'!$C$5:$C$50,MATCH(36,'Hesap'!$P$5:$P$50,0)),"")</x:f>
        <x:v>Yalnız deney</x:v>
      </x:c>
      <x:c r="E45" s="2" t="n">
        <x:f>IFNA(INDEX('Hesap'!$F$5:$F$50,MATCH(36,'Hesap'!$P$5:$P$50,0)),"")</x:f>
        <x:v>95</x:v>
      </x:c>
      <x:c r="F45" s="2" t="n">
        <x:f>IFNA(INDEX('Hesap'!$G$5:$G$50,MATCH(36,'Hesap'!$P$5:$P$50,0)),"")</x:f>
        <x:v>177</x:v>
      </x:c>
      <x:c r="G45" s="24" t="n">
        <x:f>IFNA(INDEX('Hesap'!$J$5:$J$50,MATCH(36,'Hesap'!$P$5:$P$50,0)),"")</x:f>
        <x:v>373.4999999999999</x:v>
      </x:c>
      <x:c r="H45" s="24" t="n">
        <x:f>IFNA(INDEX('Hesap'!$L$5:$L$50,MATCH(36,'Hesap'!$P$5:$P$50,0)),"")</x:f>
        <x:v>-1045.25</x:v>
      </x:c>
      <x:c r="I45" s="2" t="n">
        <x:f>IFNA(INDEX('Hesap'!$Q$5:$Q$50,MATCH(36,'Hesap'!$P$5:$P$50,0)),"")</x:f>
        <x:v>36</x:v>
      </x:c>
      <x:c r="J45" s="2"/>
      <x:c r="K45" s="2" t="n">
        <x:v>36</x:v>
      </x:c>
      <x:c r="L45" s="2" t="str">
        <x:f>INDEX('Hesap'!$B$5:$B$50,MATCH(K45,'Hesap'!$Q$5:$Q$50,0))</x:f>
        <x:v>Eklenti keşif paketi</x:v>
      </x:c>
      <x:c r="M45" s="23" t="n">
        <x:f>INDEX('Hesap'!$E$5:$E$50,MATCH(K45,'Hesap'!$Q$5:$Q$50,0))</x:f>
        <x:v>41.2</x:v>
      </x:c>
      <x:c r="N45" s="2" t="str">
        <x:f>INDEX('Hesap'!$C$5:$C$50,MATCH(K45,'Hesap'!$Q$5:$Q$50,0))</x:f>
        <x:v>Yalnız deney</x:v>
      </x:c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 t="n">
        <x:f>IFNA(INDEX('Hesap'!$P$5:$P$50,MATCH(37,'Hesap'!$P$5:$P$50,0)),"")</x:f>
        <x:v>37</x:v>
      </x:c>
      <x:c r="B46" s="2" t="str">
        <x:f>IFNA(INDEX('Hesap'!$B$5:$B$50,MATCH(37,'Hesap'!$P$5:$P$50,0)),"")</x:f>
        <x:v>Zincir operasyon hizmeti</x:v>
      </x:c>
      <x:c r="C46" s="23" t="n">
        <x:f>IFNA(INDEX('Hesap'!$D$5:$D$50,MATCH(37,'Hesap'!$P$5:$P$50,0)),"")</x:f>
        <x:v>40.800000000000004</x:v>
      </x:c>
      <x:c r="D46" s="2" t="str">
        <x:f>IFNA(INDEX('Hesap'!$C$5:$C$50,MATCH(37,'Hesap'!$P$5:$P$50,0)),"")</x:f>
        <x:v>Yalnız deney</x:v>
      </x:c>
      <x:c r="E46" s="2" t="n">
        <x:f>IFNA(INDEX('Hesap'!$F$5:$F$50,MATCH(37,'Hesap'!$P$5:$P$50,0)),"")</x:f>
        <x:v>2</x:v>
      </x:c>
      <x:c r="F46" s="2" t="n">
        <x:f>IFNA(INDEX('Hesap'!$G$5:$G$50,MATCH(37,'Hesap'!$P$5:$P$50,0)),"")</x:f>
        <x:v>1</x:v>
      </x:c>
      <x:c r="G46" s="24" t="n">
        <x:f>IFNA(INDEX('Hesap'!$J$5:$J$50,MATCH(37,'Hesap'!$P$5:$P$50,0)),"")</x:f>
        <x:v>2010</x:v>
      </x:c>
      <x:c r="H46" s="24" t="n">
        <x:f>IFNA(INDEX('Hesap'!$L$5:$L$50,MATCH(37,'Hesap'!$P$5:$P$50,0)),"")</x:f>
        <x:v>-727.5</x:v>
      </x:c>
      <x:c r="I46" s="2" t="n">
        <x:f>IFNA(INDEX('Hesap'!$Q$5:$Q$50,MATCH(37,'Hesap'!$P$5:$P$50,0)),"")</x:f>
        <x:v>37</x:v>
      </x:c>
      <x:c r="J46" s="2"/>
      <x:c r="K46" s="2" t="n">
        <x:v>37</x:v>
      </x:c>
      <x:c r="L46" s="2" t="str">
        <x:f>INDEX('Hesap'!$B$5:$B$50,MATCH(K46,'Hesap'!$Q$5:$Q$50,0))</x:f>
        <x:v>Zincir operasyon hizmeti</x:v>
      </x:c>
      <x:c r="M46" s="23" t="n">
        <x:f>INDEX('Hesap'!$E$5:$E$50,MATCH(K46,'Hesap'!$Q$5:$Q$50,0))</x:f>
        <x:v>38.2</x:v>
      </x:c>
      <x:c r="N46" s="2" t="str">
        <x:f>INDEX('Hesap'!$C$5:$C$50,MATCH(K46,'Hesap'!$Q$5:$Q$50,0))</x:f>
        <x:v>Yalnız deney</x:v>
      </x:c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 t="n">
        <x:f>IFNA(INDEX('Hesap'!$P$5:$P$50,MATCH(38,'Hesap'!$P$5:$P$50,0)),"")</x:f>
        <x:v>38</x:v>
      </x:c>
      <x:c r="B47" s="2" t="str">
        <x:f>IFNA(INDEX('Hesap'!$B$5:$B$50,MATCH(38,'Hesap'!$P$5:$P$50,0)),"")</x:f>
        <x:v>B2B likidite teşhisi</x:v>
      </x:c>
      <x:c r="C47" s="23" t="n">
        <x:f>IFNA(INDEX('Hesap'!$D$5:$D$50,MATCH(38,'Hesap'!$P$5:$P$50,0)),"")</x:f>
        <x:v>37.00000000000001</x:v>
      </x:c>
      <x:c r="D47" s="2" t="str">
        <x:f>IFNA(INDEX('Hesap'!$C$5:$C$50,MATCH(38,'Hesap'!$P$5:$P$50,0)),"")</x:f>
        <x:v>Yalnız deney</x:v>
      </x:c>
      <x:c r="E47" s="2" t="n">
        <x:f>IFNA(INDEX('Hesap'!$F$5:$F$50,MATCH(38,'Hesap'!$P$5:$P$50,0)),"")</x:f>
        <x:v>5</x:v>
      </x:c>
      <x:c r="F47" s="2" t="n">
        <x:f>IFNA(INDEX('Hesap'!$G$5:$G$50,MATCH(38,'Hesap'!$P$5:$P$50,0)),"")</x:f>
        <x:v>6</x:v>
      </x:c>
      <x:c r="G47" s="24" t="n">
        <x:f>IFNA(INDEX('Hesap'!$J$5:$J$50,MATCH(38,'Hesap'!$P$5:$P$50,0)),"")</x:f>
        <x:v>1716</x:v>
      </x:c>
      <x:c r="H47" s="24" t="n">
        <x:f>IFNA(INDEX('Hesap'!$L$5:$L$50,MATCH(38,'Hesap'!$P$5:$P$50,0)),"")</x:f>
        <x:v>-221.5</x:v>
      </x:c>
      <x:c r="I47" s="2" t="n">
        <x:f>IFNA(INDEX('Hesap'!$Q$5:$Q$50,MATCH(38,'Hesap'!$P$5:$P$50,0)),"")</x:f>
        <x:v>38</x:v>
      </x:c>
      <x:c r="J47" s="2"/>
      <x:c r="K47" s="2" t="n">
        <x:v>38</x:v>
      </x:c>
      <x:c r="L47" s="2" t="str">
        <x:f>INDEX('Hesap'!$B$5:$B$50,MATCH(K47,'Hesap'!$Q$5:$Q$50,0))</x:f>
        <x:v>B2B likidite teşhisi</x:v>
      </x:c>
      <x:c r="M47" s="23" t="n">
        <x:f>INDEX('Hesap'!$E$5:$E$50,MATCH(K47,'Hesap'!$Q$5:$Q$50,0))</x:f>
        <x:v>35.30000000000001</x:v>
      </x:c>
      <x:c r="N47" s="2" t="str">
        <x:f>INDEX('Hesap'!$C$5:$C$50,MATCH(K47,'Hesap'!$Q$5:$Q$50,0))</x:f>
        <x:v>Yalnız deney</x:v>
      </x:c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 t="n">
        <x:f>IFNA(INDEX('Hesap'!$P$5:$P$50,MATCH(39,'Hesap'!$P$5:$P$50,0)),"")</x:f>
        <x:v>39</x:v>
      </x:c>
      <x:c r="B48" s="2" t="str">
        <x:f>IFNA(INDEX('Hesap'!$B$5:$B$50,MATCH(39,'Hesap'!$P$5:$P$50,0)),"")</x:f>
        <x:v>Volley Tap</x:v>
      </x:c>
      <x:c r="C48" s="23" t="n">
        <x:f>IFNA(INDEX('Hesap'!$D$5:$D$50,MATCH(39,'Hesap'!$P$5:$P$50,0)),"")</x:f>
        <x:v>33.50000000000001</x:v>
      </x:c>
      <x:c r="D48" s="2" t="str">
        <x:f>IFNA(INDEX('Hesap'!$C$5:$C$50,MATCH(39,'Hesap'!$P$5:$P$50,0)),"")</x:f>
        <x:v>Yalnız deney</x:v>
      </x:c>
      <x:c r="E48" s="2" t="n">
        <x:f>IFNA(INDEX('Hesap'!$F$5:$F$50,MATCH(39,'Hesap'!$P$5:$P$50,0)),"")</x:f>
        <x:v>1250</x:v>
      </x:c>
      <x:c r="F48" s="2" t="n">
        <x:f>IFNA(INDEX('Hesap'!$G$5:$G$50,MATCH(39,'Hesap'!$P$5:$P$50,0)),"")</x:f>
        <x:v>177</x:v>
      </x:c>
      <x:c r="G48" s="24" t="n">
        <x:f>IFNA(INDEX('Hesap'!$J$5:$J$50,MATCH(39,'Hesap'!$P$5:$P$50,0)),"")</x:f>
        <x:v>-98</x:v>
      </x:c>
      <x:c r="H48" s="24" t="n">
        <x:f>IFNA(INDEX('Hesap'!$L$5:$L$50,MATCH(39,'Hesap'!$P$5:$P$50,0)),"")</x:f>
        <x:v>-1460.5</x:v>
      </x:c>
      <x:c r="I48" s="2" t="n">
        <x:f>IFNA(INDEX('Hesap'!$Q$5:$Q$50,MATCH(39,'Hesap'!$P$5:$P$50,0)),"")</x:f>
        <x:v>39</x:v>
      </x:c>
      <x:c r="J48" s="2"/>
      <x:c r="K48" s="2" t="n">
        <x:v>39</x:v>
      </x:c>
      <x:c r="L48" s="2" t="str">
        <x:f>INDEX('Hesap'!$B$5:$B$50,MATCH(K48,'Hesap'!$Q$5:$Q$50,0))</x:f>
        <x:v>Volley Tap</x:v>
      </x:c>
      <x:c r="M48" s="23" t="n">
        <x:f>INDEX('Hesap'!$E$5:$E$50,MATCH(K48,'Hesap'!$Q$5:$Q$50,0))</x:f>
        <x:v>33.50000000000001</x:v>
      </x:c>
      <x:c r="N48" s="2" t="str">
        <x:f>INDEX('Hesap'!$C$5:$C$50,MATCH(K48,'Hesap'!$Q$5:$Q$50,0))</x:f>
        <x:v>Yalnız deney</x:v>
      </x:c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 t="str">
        <x:f>IFNA(INDEX('Hesap'!$P$5:$P$50,MATCH(40,'Hesap'!$P$5:$P$50,0)),"")</x:f>
      </x:c>
      <x:c r="B49" s="2" t="str">
        <x:f>IFNA(INDEX('Hesap'!$B$5:$B$50,MATCH(40,'Hesap'!$P$5:$P$50,0)),"")</x:f>
      </x:c>
      <x:c r="C49" s="23" t="str">
        <x:f>IFNA(INDEX('Hesap'!$D$5:$D$50,MATCH(40,'Hesap'!$P$5:$P$50,0)),"")</x:f>
      </x:c>
      <x:c r="D49" s="2" t="str">
        <x:f>IFNA(INDEX('Hesap'!$C$5:$C$50,MATCH(40,'Hesap'!$P$5:$P$50,0)),"")</x:f>
      </x:c>
      <x:c r="E49" s="2" t="str">
        <x:f>IFNA(INDEX('Hesap'!$F$5:$F$50,MATCH(40,'Hesap'!$P$5:$P$50,0)),"")</x:f>
      </x:c>
      <x:c r="F49" s="2" t="str">
        <x:f>IFNA(INDEX('Hesap'!$G$5:$G$50,MATCH(40,'Hesap'!$P$5:$P$50,0)),"")</x:f>
      </x:c>
      <x:c r="G49" s="24" t="str">
        <x:f>IFNA(INDEX('Hesap'!$J$5:$J$50,MATCH(40,'Hesap'!$P$5:$P$50,0)),"")</x:f>
      </x:c>
      <x:c r="H49" s="24" t="str">
        <x:f>IFNA(INDEX('Hesap'!$L$5:$L$50,MATCH(40,'Hesap'!$P$5:$P$50,0)),"")</x:f>
      </x:c>
      <x:c r="I49" s="2" t="str">
        <x:f>IFNA(INDEX('Hesap'!$Q$5:$Q$50,MATCH(40,'Hesap'!$P$5:$P$50,0)),"")</x:f>
      </x:c>
      <x:c r="J49" s="2"/>
      <x:c r="K49" s="2"/>
      <x:c r="L49" s="2"/>
      <x:c r="M49" s="23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 t="str">
        <x:f>IFNA(INDEX('Hesap'!$P$5:$P$50,MATCH(41,'Hesap'!$P$5:$P$50,0)),"")</x:f>
      </x:c>
      <x:c r="B50" s="2" t="str">
        <x:f>IFNA(INDEX('Hesap'!$B$5:$B$50,MATCH(41,'Hesap'!$P$5:$P$50,0)),"")</x:f>
      </x:c>
      <x:c r="C50" s="23" t="str">
        <x:f>IFNA(INDEX('Hesap'!$D$5:$D$50,MATCH(41,'Hesap'!$P$5:$P$50,0)),"")</x:f>
      </x:c>
      <x:c r="D50" s="2" t="str">
        <x:f>IFNA(INDEX('Hesap'!$C$5:$C$50,MATCH(41,'Hesap'!$P$5:$P$50,0)),"")</x:f>
      </x:c>
      <x:c r="E50" s="2" t="str">
        <x:f>IFNA(INDEX('Hesap'!$F$5:$F$50,MATCH(41,'Hesap'!$P$5:$P$50,0)),"")</x:f>
      </x:c>
      <x:c r="F50" s="2" t="str">
        <x:f>IFNA(INDEX('Hesap'!$G$5:$G$50,MATCH(41,'Hesap'!$P$5:$P$50,0)),"")</x:f>
      </x:c>
      <x:c r="G50" s="24" t="str">
        <x:f>IFNA(INDEX('Hesap'!$J$5:$J$50,MATCH(41,'Hesap'!$P$5:$P$50,0)),"")</x:f>
      </x:c>
      <x:c r="H50" s="24" t="str">
        <x:f>IFNA(INDEX('Hesap'!$L$5:$L$50,MATCH(41,'Hesap'!$P$5:$P$50,0)),"")</x:f>
      </x:c>
      <x:c r="I50" s="2" t="str">
        <x:f>IFNA(INDEX('Hesap'!$Q$5:$Q$50,MATCH(41,'Hesap'!$P$5:$P$50,0)),"")</x:f>
      </x:c>
      <x:c r="J50" s="2"/>
      <x:c r="K50" s="2"/>
      <x:c r="L50" s="2"/>
      <x:c r="M50" s="23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 t="str">
        <x:f>IFNA(INDEX('Hesap'!$P$5:$P$50,MATCH(42,'Hesap'!$P$5:$P$50,0)),"")</x:f>
      </x:c>
      <x:c r="B51" s="2" t="str">
        <x:f>IFNA(INDEX('Hesap'!$B$5:$B$50,MATCH(42,'Hesap'!$P$5:$P$50,0)),"")</x:f>
      </x:c>
      <x:c r="C51" s="23" t="str">
        <x:f>IFNA(INDEX('Hesap'!$D$5:$D$50,MATCH(42,'Hesap'!$P$5:$P$50,0)),"")</x:f>
      </x:c>
      <x:c r="D51" s="2" t="str">
        <x:f>IFNA(INDEX('Hesap'!$C$5:$C$50,MATCH(42,'Hesap'!$P$5:$P$50,0)),"")</x:f>
      </x:c>
      <x:c r="E51" s="2" t="str">
        <x:f>IFNA(INDEX('Hesap'!$F$5:$F$50,MATCH(42,'Hesap'!$P$5:$P$50,0)),"")</x:f>
      </x:c>
      <x:c r="F51" s="2" t="str">
        <x:f>IFNA(INDEX('Hesap'!$G$5:$G$50,MATCH(42,'Hesap'!$P$5:$P$50,0)),"")</x:f>
      </x:c>
      <x:c r="G51" s="24" t="str">
        <x:f>IFNA(INDEX('Hesap'!$J$5:$J$50,MATCH(42,'Hesap'!$P$5:$P$50,0)),"")</x:f>
      </x:c>
      <x:c r="H51" s="24" t="str">
        <x:f>IFNA(INDEX('Hesap'!$L$5:$L$50,MATCH(42,'Hesap'!$P$5:$P$50,0)),"")</x:f>
      </x:c>
      <x:c r="I51" s="2" t="str">
        <x:f>IFNA(INDEX('Hesap'!$Q$5:$Q$50,MATCH(42,'Hesap'!$P$5:$P$50,0)),"")</x:f>
      </x:c>
      <x:c r="J51" s="2"/>
      <x:c r="K51" s="2"/>
      <x:c r="L51" s="2"/>
      <x:c r="M51" s="23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 t="str">
        <x:f>IFNA(INDEX('Hesap'!$P$5:$P$50,MATCH(43,'Hesap'!$P$5:$P$50,0)),"")</x:f>
      </x:c>
      <x:c r="B52" s="2" t="str">
        <x:f>IFNA(INDEX('Hesap'!$B$5:$B$50,MATCH(43,'Hesap'!$P$5:$P$50,0)),"")</x:f>
      </x:c>
      <x:c r="C52" s="23" t="str">
        <x:f>IFNA(INDEX('Hesap'!$D$5:$D$50,MATCH(43,'Hesap'!$P$5:$P$50,0)),"")</x:f>
      </x:c>
      <x:c r="D52" s="2" t="str">
        <x:f>IFNA(INDEX('Hesap'!$C$5:$C$50,MATCH(43,'Hesap'!$P$5:$P$50,0)),"")</x:f>
      </x:c>
      <x:c r="E52" s="2" t="str">
        <x:f>IFNA(INDEX('Hesap'!$F$5:$F$50,MATCH(43,'Hesap'!$P$5:$P$50,0)),"")</x:f>
      </x:c>
      <x:c r="F52" s="2" t="str">
        <x:f>IFNA(INDEX('Hesap'!$G$5:$G$50,MATCH(43,'Hesap'!$P$5:$P$50,0)),"")</x:f>
      </x:c>
      <x:c r="G52" s="24" t="str">
        <x:f>IFNA(INDEX('Hesap'!$J$5:$J$50,MATCH(43,'Hesap'!$P$5:$P$50,0)),"")</x:f>
      </x:c>
      <x:c r="H52" s="24" t="str">
        <x:f>IFNA(INDEX('Hesap'!$L$5:$L$50,MATCH(43,'Hesap'!$P$5:$P$50,0)),"")</x:f>
      </x:c>
      <x:c r="I52" s="2" t="str">
        <x:f>IFNA(INDEX('Hesap'!$Q$5:$Q$50,MATCH(43,'Hesap'!$P$5:$P$50,0)),"")</x:f>
      </x:c>
      <x:c r="J52" s="2"/>
      <x:c r="K52" s="2"/>
      <x:c r="L52" s="2"/>
      <x:c r="M52" s="23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 t="str">
        <x:f>IFNA(INDEX('Hesap'!$P$5:$P$50,MATCH(44,'Hesap'!$P$5:$P$50,0)),"")</x:f>
      </x:c>
      <x:c r="B53" s="2" t="str">
        <x:f>IFNA(INDEX('Hesap'!$B$5:$B$50,MATCH(44,'Hesap'!$P$5:$P$50,0)),"")</x:f>
      </x:c>
      <x:c r="C53" s="23" t="str">
        <x:f>IFNA(INDEX('Hesap'!$D$5:$D$50,MATCH(44,'Hesap'!$P$5:$P$50,0)),"")</x:f>
      </x:c>
      <x:c r="D53" s="2" t="str">
        <x:f>IFNA(INDEX('Hesap'!$C$5:$C$50,MATCH(44,'Hesap'!$P$5:$P$50,0)),"")</x:f>
      </x:c>
      <x:c r="E53" s="2" t="str">
        <x:f>IFNA(INDEX('Hesap'!$F$5:$F$50,MATCH(44,'Hesap'!$P$5:$P$50,0)),"")</x:f>
      </x:c>
      <x:c r="F53" s="2" t="str">
        <x:f>IFNA(INDEX('Hesap'!$G$5:$G$50,MATCH(44,'Hesap'!$P$5:$P$50,0)),"")</x:f>
      </x:c>
      <x:c r="G53" s="24" t="str">
        <x:f>IFNA(INDEX('Hesap'!$J$5:$J$50,MATCH(44,'Hesap'!$P$5:$P$50,0)),"")</x:f>
      </x:c>
      <x:c r="H53" s="24" t="str">
        <x:f>IFNA(INDEX('Hesap'!$L$5:$L$50,MATCH(44,'Hesap'!$P$5:$P$50,0)),"")</x:f>
      </x:c>
      <x:c r="I53" s="2" t="str">
        <x:f>IFNA(INDEX('Hesap'!$Q$5:$Q$50,MATCH(44,'Hesap'!$P$5:$P$50,0)),"")</x:f>
      </x:c>
      <x:c r="J53" s="2"/>
      <x:c r="K53" s="2"/>
      <x:c r="L53" s="2"/>
      <x:c r="M53" s="23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 t="str">
        <x:f>IFNA(INDEX('Hesap'!$P$5:$P$50,MATCH(45,'Hesap'!$P$5:$P$50,0)),"")</x:f>
      </x:c>
      <x:c r="B54" s="2" t="str">
        <x:f>IFNA(INDEX('Hesap'!$B$5:$B$50,MATCH(45,'Hesap'!$P$5:$P$50,0)),"")</x:f>
      </x:c>
      <x:c r="C54" s="23" t="str">
        <x:f>IFNA(INDEX('Hesap'!$D$5:$D$50,MATCH(45,'Hesap'!$P$5:$P$50,0)),"")</x:f>
      </x:c>
      <x:c r="D54" s="2" t="str">
        <x:f>IFNA(INDEX('Hesap'!$C$5:$C$50,MATCH(45,'Hesap'!$P$5:$P$50,0)),"")</x:f>
      </x:c>
      <x:c r="E54" s="2" t="str">
        <x:f>IFNA(INDEX('Hesap'!$F$5:$F$50,MATCH(45,'Hesap'!$P$5:$P$50,0)),"")</x:f>
      </x:c>
      <x:c r="F54" s="2" t="str">
        <x:f>IFNA(INDEX('Hesap'!$G$5:$G$50,MATCH(45,'Hesap'!$P$5:$P$50,0)),"")</x:f>
      </x:c>
      <x:c r="G54" s="24" t="str">
        <x:f>IFNA(INDEX('Hesap'!$J$5:$J$50,MATCH(45,'Hesap'!$P$5:$P$50,0)),"")</x:f>
      </x:c>
      <x:c r="H54" s="24" t="str">
        <x:f>IFNA(INDEX('Hesap'!$L$5:$L$50,MATCH(45,'Hesap'!$P$5:$P$50,0)),"")</x:f>
      </x:c>
      <x:c r="I54" s="2" t="str">
        <x:f>IFNA(INDEX('Hesap'!$Q$5:$Q$50,MATCH(45,'Hesap'!$P$5:$P$50,0)),"")</x:f>
      </x:c>
      <x:c r="J54" s="2"/>
      <x:c r="K54" s="2"/>
      <x:c r="L54" s="2"/>
      <x:c r="M54" s="23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 t="str">
        <x:f>IFNA(INDEX('Hesap'!$P$5:$P$50,MATCH(46,'Hesap'!$P$5:$P$50,0)),"")</x:f>
      </x:c>
      <x:c r="B55" s="2" t="str">
        <x:f>IFNA(INDEX('Hesap'!$B$5:$B$50,MATCH(46,'Hesap'!$P$5:$P$50,0)),"")</x:f>
      </x:c>
      <x:c r="C55" s="23" t="str">
        <x:f>IFNA(INDEX('Hesap'!$D$5:$D$50,MATCH(46,'Hesap'!$P$5:$P$50,0)),"")</x:f>
      </x:c>
      <x:c r="D55" s="2" t="str">
        <x:f>IFNA(INDEX('Hesap'!$C$5:$C$50,MATCH(46,'Hesap'!$P$5:$P$50,0)),"")</x:f>
      </x:c>
      <x:c r="E55" s="2" t="str">
        <x:f>IFNA(INDEX('Hesap'!$F$5:$F$50,MATCH(46,'Hesap'!$P$5:$P$50,0)),"")</x:f>
      </x:c>
      <x:c r="F55" s="2" t="str">
        <x:f>IFNA(INDEX('Hesap'!$G$5:$G$50,MATCH(46,'Hesap'!$P$5:$P$50,0)),"")</x:f>
      </x:c>
      <x:c r="G55" s="24" t="str">
        <x:f>IFNA(INDEX('Hesap'!$J$5:$J$50,MATCH(46,'Hesap'!$P$5:$P$50,0)),"")</x:f>
      </x:c>
      <x:c r="H55" s="24" t="str">
        <x:f>IFNA(INDEX('Hesap'!$L$5:$L$50,MATCH(46,'Hesap'!$P$5:$P$50,0)),"")</x:f>
      </x:c>
      <x:c r="I55" s="2" t="str">
        <x:f>IFNA(INDEX('Hesap'!$Q$5:$Q$50,MATCH(46,'Hesap'!$P$5:$P$50,0)),"")</x:f>
      </x:c>
      <x:c r="J55" s="2"/>
      <x:c r="K55" s="2"/>
      <x:c r="L55" s="2"/>
      <x:c r="M55" s="23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conditionalFormatting sqref="D10:D55">
    <x:cfRule type="containsText" dxfId="0" priority="1" operator="containsText" text="Kapsam/engel"/>
  </x:conditionalFormatting>
  <x:conditionalFormatting sqref="G10:H55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7b08d4d7304a26"/>
  </x:tableParts>
</x:worksheet>
</file>

<file path=xl/worksheets/sheet2.xml><?xml version="1.0" encoding="utf-8"?>
<x:worksheet xmlns:x="http://schemas.openxmlformats.org/spreadsheetml/2006/main">
  <x:sheetPr>
    <x:tabColor rgb="FF4B6B87"/>
  </x:sheetPr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Karar ve kapasite girdileri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5" t="str">
        <x:v>Parametre</x:v>
      </x:c>
      <x:c r="B4" s="5" t="str">
        <x:v>Değer</x:v>
      </x:c>
      <x:c r="C4" s="5" t="str">
        <x:v>Birim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24" customHeight="1">
      <x:c r="A5" s="2" t="str">
        <x:v>Hedef net operasyon nakdi</x:v>
      </x:c>
      <x:c r="B5" s="7" t="n">
        <x:v>3000</x:v>
      </x:c>
      <x:c r="C5" s="2" t="str">
        <x:v>USD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24" customHeight="1">
      <x:c r="A6" s="2" t="str">
        <x:v>Ufuk</x:v>
      </x:c>
      <x:c r="B6" s="7" t="n">
        <x:v>6</x:v>
      </x:c>
      <x:c r="C6" s="2" t="str">
        <x:v>ay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24" customHeight="1">
      <x:c r="A7" s="2" t="str">
        <x:v>Haftalık kurucu kapasitesi</x:v>
      </x:c>
      <x:c r="B7" s="7" t="n">
        <x:v>5</x:v>
      </x:c>
      <x:c r="C7" s="2" t="str">
        <x:v>saat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24" customHeight="1">
      <x:c r="A8" s="2" t="str">
        <x:v>Başlangıç nakit üst sınırı</x:v>
      </x:c>
      <x:c r="B8" s="7" t="n">
        <x:v>500</x:v>
      </x:c>
      <x:c r="C8" s="2" t="str">
        <x:v>USD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24" customHeight="1">
      <x:c r="A9" s="2" t="str">
        <x:v>Kurucu saat fırsat maliyeti</x:v>
      </x:c>
      <x:c r="B9" s="7" t="n">
        <x:v>25</x:v>
      </x:c>
      <x:c r="C9" s="2" t="str">
        <x:v>USD/saat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24" customHeight="1">
      <x:c r="A10" s="2" t="str">
        <x:v>Vergi rezerv varsayımı</x:v>
      </x:c>
      <x:c r="B10" s="7" t="n">
        <x:v>0</x:v>
      </x:c>
      <x:c r="C10" s="2" t="str">
        <x:v>oran; hukuki vergi hesabı değildir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38" customHeight="1">
      <x:c r="A13" s="5" t="str">
        <x:v>Kategori</x:v>
      </x:c>
      <x:c r="B13" s="5" t="str">
        <x:v>İlk nakit ağırlığı</x:v>
      </x:c>
      <x:c r="C13" s="5" t="str">
        <x:v>Self-service ağırlığı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24" customHeight="1">
      <x:c r="A14" s="2" t="str">
        <x:v>Satın alma gerekçesi</x:v>
      </x:c>
      <x:c r="B14" s="9" t="n">
        <x:v>0.25</x:v>
      </x:c>
      <x:c r="C14" s="9" t="n">
        <x:v>0.2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24" customHeight="1">
      <x:c r="A15" s="2" t="str">
        <x:v>Reklamsız erişim</x:v>
      </x:c>
      <x:c r="B15" s="9" t="n">
        <x:v>0.3</x:v>
      </x:c>
      <x:c r="C15" s="9" t="n">
        <x:v>0.35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24" customHeight="1">
      <x:c r="A16" s="2" t="str">
        <x:v>İlk kullanım ve satın alma</x:v>
      </x:c>
      <x:c r="B16" s="9" t="n">
        <x:v>0.2</x:v>
      </x:c>
      <x:c r="C16" s="9" t="n">
        <x:v>0.25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24" customHeight="1">
      <x:c r="A17" s="2" t="str">
        <x:v>Mevcut varlığa uyum</x:v>
      </x:c>
      <x:c r="B17" s="9" t="n">
        <x:v>0.1</x:v>
      </x:c>
      <x:c r="C17" s="9" t="n">
        <x:v>0.05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24" customHeight="1">
      <x:c r="A18" s="2" t="str">
        <x:v>Tekrar gelir işi</x:v>
      </x:c>
      <x:c r="B18" s="9" t="n">
        <x:v>0.1</x:v>
      </x:c>
      <x:c r="C18" s="9" t="n">
        <x:v>0.1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24" customHeight="1">
      <x:c r="A19" s="2" t="str">
        <x:v>Operasyon</x:v>
      </x:c>
      <x:c r="B19" s="9" t="n">
        <x:v>0.05</x:v>
      </x:c>
      <x:c r="C19" s="9" t="n">
        <x:v>0.05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24" customHeight="1">
      <x:c r="A21" s="2" t="str">
        <x:v>Ağırlık toplamı</x:v>
      </x:c>
      <x:c r="B21" s="2" t="n">
        <x:f>SUM(B14:B19)</x:f>
        <x:v>1</x:v>
      </x:c>
      <x:c r="C21" s="2" t="n">
        <x:f>SUM(C14:C19)</x:f>
        <x:v>1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38" customHeight="1">
      <x:c r="A24" s="5" t="str">
        <x:v>Kapı kodu</x:v>
      </x:c>
      <x:c r="B24" s="5" t="str">
        <x:v>Anlam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24" customHeight="1">
      <x:c r="A25" s="2" t="n">
        <x:v>0</x:v>
      </x:c>
      <x:c r="B25" s="2" t="str">
        <x:v>Engel veya ticari olmayan kapsam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 t="n">
        <x:v>1</x:v>
      </x:c>
      <x:c r="B26" s="2" t="str">
        <x:v>Doğrulama öncesi yalnız deney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 t="n">
        <x:v>2</x:v>
      </x:c>
      <x:c r="B27" s="2" t="str">
        <x:v>Belirtilen kapıda doğrulanmış geçiş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 t="str">
        <x:v>Model para birimi USD. Bütün fiyat/adet/saat girdileri örnek varsayımdır; kurla çevrilmiş gerçek müşteri tutarı yok.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 t="str">
        <x:v>İlk nakit ve self-service iki tercih görünümüdür, iki farklı gelir tahmini değildir.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dataValidations count="4">
    <x:dataValidation type="decimal" operator="greaterThan" sqref="B5:B7">
      <x:formula1>0</x:formula1>
    </x:dataValidation>
    <x:dataValidation type="decimal" operator="greaterThanOrEqual" sqref="B8:B9">
      <x:formula1>0</x:formula1>
    </x:dataValidation>
    <x:dataValidation type="decimal" operator="between" sqref="B10">
      <x:formula1>0</x:formula1>
      <x:formula2>1</x:formula2>
    </x:dataValidation>
    <x:dataValidation type="whole" operator="between" sqref="B6">
      <x:formula1>1</x:formula1>
      <x:formula2>12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AA8B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Hedef, kapasite ve puan hesabı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5" t="str">
        <x:v>Aile</x:v>
      </x:c>
      <x:c r="B4" s="5" t="str">
        <x:v>Ad</x:v>
      </x:c>
      <x:c r="C4" s="5" t="str">
        <x:v>Kapı</x:v>
      </x:c>
      <x:c r="D4" s="5" t="str">
        <x:v>İlk nakit puanı</x:v>
      </x:c>
      <x:c r="E4" s="5" t="str">
        <x:v>Self-service puanı</x:v>
      </x:c>
      <x:c r="F4" s="5" t="str">
        <x:v>Hedef için satış</x:v>
      </x:c>
      <x:c r="G4" s="5" t="str">
        <x:v>Kapasite satış</x:v>
      </x:c>
      <x:c r="H4" s="5" t="str">
        <x:v>Birim nakit katkı USD</x:v>
      </x:c>
      <x:c r="I4" s="5" t="str">
        <x:v>Örnek satış</x:v>
      </x:c>
      <x:c r="J4" s="5" t="str">
        <x:v>Örnek net nakit USD</x:v>
      </x:c>
      <x:c r="K4" s="5" t="str">
        <x:v>Toplam saat</x:v>
      </x:c>
      <x:c r="L4" s="5" t="str">
        <x:v>Ekonomik sonuç USD</x:v>
      </x:c>
      <x:c r="M4" s="5" t="str">
        <x:v>Haftalık saat</x:v>
      </x:c>
      <x:c r="N4" s="5" t="str">
        <x:v>Başlangıç bütçe</x:v>
      </x:c>
      <x:c r="O4" s="5" t="str">
        <x:v>Kapasite hedef</x:v>
      </x:c>
      <x:c r="P4" s="5" t="str">
        <x:v>İlk nakit deney sıra</x:v>
      </x:c>
      <x:c r="Q4" s="5" t="str">
        <x:v>Self-service deney sıra</x:v>
      </x:c>
      <x:c r="R4" s="5" t="str">
        <x:v>Yatırım sıra</x:v>
      </x:c>
      <x:c r="S4" s="5" t="str">
        <x:v>Vergi rezerv sonrası USD</x:v>
      </x:c>
      <x:c r="T4" s="5" t="str">
        <x:v>Aktif hafta</x:v>
      </x:c>
      <x:c r="U4" s="5" t="str">
        <x:v>Etkin faturalı ay</x:v>
      </x:c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24" customHeight="1">
      <x:c r="A5" s="2" t="str">
        <x:f>'Proje girdileri'!A5</x:f>
        <x:v>Aile-01</x:v>
      </x:c>
      <x:c r="B5" s="2" t="str">
        <x:f>'Proje girdileri'!B5</x:f>
        <x:v>Actionplan</x:v>
      </x:c>
      <x:c r="C5" s="2" t="str">
        <x:f>IF(OR(COUNT('Proje girdileri'!D5:H5)&lt;&gt;5,MIN('Proje girdileri'!D5:H5)&lt;0,MAX('Proje girdileri'!D5:H5)&gt;2),"Yalnız deney",IF(MIN('Proje girdileri'!D5:H5)=0,"Kapsam/engel",IF(MIN('Proje girdileri'!D5:H5)=1,"Yalnız deney","Geçti")))</x:f>
        <x:v>Yalnız deney</x:v>
      </x:c>
      <x:c r="D5" s="23" t="n">
        <x:f>IF(AND(COUNT('Proje girdileri'!I5:X5)=16,MIN('Proje girdileri'!I5:X5)&gt;=0,MAX('Proje girdileri'!I5:X5)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girdileri'!I5:X5,'Proje girdileri'!$I$2:$X$2)/5*100,"n.a.")</x:f>
        <x:v>51.300000000000004</x:v>
      </x:c>
      <x:c r="E5" s="23" t="n">
        <x:f>IF(AND(COUNT('Proje girdileri'!I5:X5)=16,MIN('Proje girdileri'!I5:X5)&gt;=0,MAX('Proje girdileri'!I5:X5)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girdileri'!I5:X5,'Proje girdileri'!$I$3:$X$3)/5*100,"n.a.")</x:f>
        <x:v>50.6</x:v>
      </x:c>
      <x:c r="F5" s="2" t="n">
        <x:f>IF(OR(COUNT('Ayarlar'!$B$5:$B$9)&lt;&gt;5,MIN('Ayarlar'!$B$5:$B$7)&lt;=0,MIN('Ayarlar'!$B$8:$B$9)&lt;0,NOT(ISNUMBER(H5)),H5&lt;=0),"n.a.",ROUNDUP(('Ayarlar'!$B$5+'Proje girdileri'!AI5+'Ayarlar'!$B$6*'Proje girdileri'!AJ5)/H5,0))</x:f>
        <x:v>95</x:v>
      </x:c>
      <x:c r="G5" s="2" t="n">
        <x:f>IF(OR('Proje girdileri'!C5="internal",'Proje girdileri'!AE5+'Proje girdileri'!AF5+'Proje girdileri'!AG5*U5&lt;=0),0,MAX(0,ROUNDDOWN((MIN(T5*'Ayarlar'!$B$7,'Ayarlar'!$B$6*52/12*'Ayarlar'!$B$7-'Proje girdileri'!AD5)-T5*'Proje girdileri'!AK5)/('Proje girdileri'!AE5+'Proje girdileri'!AF5+'Proje girdileri'!AG5*U5),0)))</x:f>
        <x:v>177</x:v>
      </x:c>
      <x:c r="H5" s="24" t="n">
        <x:f>IF(COUNT('Proje girdileri'!Y5:AL5)&lt;&gt;14,"n.a.",('Proje girdileri'!Y5*(1-'Proje girdileri'!AA5-'Proje girdileri'!AB5)-'Proje girdileri'!Z5)*U5)</x:f>
        <x:v>33.099999999999994</x:v>
      </x:c>
      <x:c r="I5" s="24" t="n">
        <x:f>IF(ISNUMBER(H5),IF(H5&gt;0,MIN('Proje girdileri'!AL5,G5),0),"n.a.")</x:f>
        <x:v>15</x:v>
      </x:c>
      <x:c r="J5" s="24" t="n">
        <x:f>IF(ISNUMBER(H5),I5*H5-'Proje girdileri'!AI5-'Ayarlar'!$B$6*'Proje girdileri'!AJ5,"n.a.")</x:f>
        <x:v>373.4999999999999</x:v>
      </x:c>
      <x:c r="K5" s="23" t="n">
        <x:f>IF(ISNUMBER(I5),'Proje girdileri'!AD5+T5*'Proje girdileri'!AK5+I5*('Proje girdileri'!AE5+'Proje girdileri'!AF5+'Proje girdileri'!AG5*U5),"n.a.")</x:f>
        <x:v>56.75</x:v>
      </x:c>
      <x:c r="L5" s="23" t="n">
        <x:f>IF(ISNUMBER(J5),J5-K5*'Ayarlar'!$B$9,"n.a.")</x:f>
        <x:v>-1045.25</x:v>
      </x:c>
      <x:c r="M5" s="23" t="n">
        <x:f>IF(AND(ISNUMBER(K5),'Ayarlar'!$B$6&gt;0),K5/('Ayarlar'!$B$6*52/12),"n.a.")</x:f>
        <x:v>2.1826923076923075</x:v>
      </x:c>
      <x:c r="N5" s="2" t="str">
        <x:f>IF('Proje girdileri'!AI5&lt;='Ayarlar'!$B$8,"Sığar","Aşar")</x:f>
        <x:v>Sığar</x:v>
      </x:c>
      <x:c r="O5" s="2" t="str">
        <x:f>IF(ISNUMBER(F5),IF(F5&lt;=G5,"Sığar","Aşar"),"n.a.")</x:f>
        <x:v>Sığar</x:v>
      </x:c>
      <x:c r="P5" s="2" t="n">
        <x:f>IF(OR(C5="Kapsam/engel",NOT(ISNUMBER(D5))),"n.a.",COUNTIFS($D$5:$D$50,"&gt;"&amp;D5,$C$5:$C$50,"&lt;&gt;Kapsam/engel")+COUNTIFS($D$5:D5,D5,$C$5:C5,"&lt;&gt;Kapsam/engel"))</x:f>
        <x:v>12</x:v>
      </x:c>
      <x:c r="Q5" s="2" t="n">
        <x:f>IF(OR(C5="Kapsam/engel",NOT(ISNUMBER(E5))),"n.a.",COUNTIFS($E$5:$E$50,"&gt;"&amp;E5,$C$5:$C$50,"&lt;&gt;Kapsam/engel")+COUNTIFS($E$5:E5,E5,$C$5:C5,"&lt;&gt;Kapsam/engel"))</x:f>
        <x:v>10</x:v>
      </x:c>
      <x:c r="R5" s="2" t="str">
        <x:f>IF(AND(C5="Geçti",N5="Sığar",O5="Sığar"),COUNTIFS($D$5:$D$50,"&gt;"&amp;D5,$C$5:$C$50,"Geçti",$N$5:$N$50,"Sığar",$O$5:$O$50,"Sığar")+COUNTIFS($D$5:D5,D5,$C$5:C5,"Geçti",$N$5:N5,"Sığar",$O$5:O5,"Sığar"),"n.a.")</x:f>
        <x:v>n.a.</x:v>
      </x:c>
      <x:c r="S5" s="24" t="n">
        <x:f>IF(ISNUMBER(J5),J5-MAX(0,J5)*'Ayarlar'!$B$10,"n.a.")</x:f>
        <x:v>373.4999999999999</x:v>
      </x:c>
      <x:c r="T5" s="2" t="n">
        <x:f>IF('Ayarlar'!$B$7&lt;=0,0,MAX(0,'Ayarlar'!$B$6*52/12-MAX('Proje girdileri'!AC5,ROUNDUP('Proje girdileri'!AD5/'Ayarlar'!$B$7,0))))</x:f>
        <x:v>20</x:v>
      </x:c>
      <x:c r="U5" s="2" t="n">
        <x:f>IF(T5=0,0,IF('Proje girdileri'!C5="recurring",IF(MAX(0,'Ayarlar'!$B$6-IF('Ayarlar'!$B$7&lt;=0,99,ROUNDUP(MAX('Proje girdileri'!AC5,ROUNDUP('Proje girdileri'!AD5/'Ayarlar'!$B$7,0))/(52/12),0)))=0,0,(IF(AND(1&gt;IF('Ayarlar'!$B$7&lt;=0,99,ROUNDUP(MAX('Proje girdileri'!AC5,ROUNDUP('Proje girdileri'!AD5/'Ayarlar'!$B$7,0))/(52/12),0)),1&lt;='Ayarlar'!$B$6),IF('Proje girdileri'!AT5=0,MIN('Proje girdileri'!AH5,'Ayarlar'!$B$6-1+1),(1-POWER(1-'Proje girdileri'!AT5,MIN('Proje girdileri'!AH5,'Ayarlar'!$B$6-1+1)))/'Proje girdileri'!AT5),0)+IF(AND(2&gt;IF('Ayarlar'!$B$7&lt;=0,99,ROUNDUP(MAX('Proje girdileri'!AC5,ROUNDUP('Proje girdileri'!AD5/'Ayarlar'!$B$7,0))/(52/12),0)),2&lt;='Ayarlar'!$B$6),IF('Proje girdileri'!AT5=0,MIN('Proje girdileri'!AH5,'Ayarlar'!$B$6-2+1),(1-POWER(1-'Proje girdileri'!AT5,MIN('Proje girdileri'!AH5,'Ayarlar'!$B$6-2+1)))/'Proje girdileri'!AT5),0)+IF(AND(3&gt;IF('Ayarlar'!$B$7&lt;=0,99,ROUNDUP(MAX('Proje girdileri'!AC5,ROUNDUP('Proje girdileri'!AD5/'Ayarlar'!$B$7,0))/(52/12),0)),3&lt;='Ayarlar'!$B$6),IF('Proje girdileri'!AT5=0,MIN('Proje girdileri'!AH5,'Ayarlar'!$B$6-3+1),(1-POWER(1-'Proje girdileri'!AT5,MIN('Proje girdileri'!AH5,'Ayarlar'!$B$6-3+1)))/'Proje girdileri'!AT5),0)+IF(AND(4&gt;IF('Ayarlar'!$B$7&lt;=0,99,ROUNDUP(MAX('Proje girdileri'!AC5,ROUNDUP('Proje girdileri'!AD5/'Ayarlar'!$B$7,0))/(52/12),0)),4&lt;='Ayarlar'!$B$6),IF('Proje girdileri'!AT5=0,MIN('Proje girdileri'!AH5,'Ayarlar'!$B$6-4+1),(1-POWER(1-'Proje girdileri'!AT5,MIN('Proje girdileri'!AH5,'Ayarlar'!$B$6-4+1)))/'Proje girdileri'!AT5),0)+IF(AND(5&gt;IF('Ayarlar'!$B$7&lt;=0,99,ROUNDUP(MAX('Proje girdileri'!AC5,ROUNDUP('Proje girdileri'!AD5/'Ayarlar'!$B$7,0))/(52/12),0)),5&lt;='Ayarlar'!$B$6),IF('Proje girdileri'!AT5=0,MIN('Proje girdileri'!AH5,'Ayarlar'!$B$6-5+1),(1-POWER(1-'Proje girdileri'!AT5,MIN('Proje girdileri'!AH5,'Ayarlar'!$B$6-5+1)))/'Proje girdileri'!AT5),0)+IF(AND(6&gt;IF('Ayarlar'!$B$7&lt;=0,99,ROUNDUP(MAX('Proje girdileri'!AC5,ROUNDUP('Proje girdileri'!AD5/'Ayarlar'!$B$7,0))/(52/12),0)),6&lt;='Ayarlar'!$B$6),IF('Proje girdileri'!AT5=0,MIN('Proje girdileri'!AH5,'Ayarlar'!$B$6-6+1),(1-POWER(1-'Proje girdileri'!AT5,MIN('Proje girdileri'!AH5,'Ayarlar'!$B$6-6+1)))/'Proje girdileri'!AT5),0)+IF(AND(7&gt;IF('Ayarlar'!$B$7&lt;=0,99,ROUNDUP(MAX('Proje girdileri'!AC5,ROUNDUP('Proje girdileri'!AD5/'Ayarlar'!$B$7,0))/(52/12),0)),7&lt;='Ayarlar'!$B$6),IF('Proje girdileri'!AT5=0,MIN('Proje girdileri'!AH5,'Ayarlar'!$B$6-7+1),(1-POWER(1-'Proje girdileri'!AT5,MIN('Proje girdileri'!AH5,'Ayarlar'!$B$6-7+1)))/'Proje girdileri'!AT5),0)+IF(AND(8&gt;IF('Ayarlar'!$B$7&lt;=0,99,ROUNDUP(MAX('Proje girdileri'!AC5,ROUNDUP('Proje girdileri'!AD5/'Ayarlar'!$B$7,0))/(52/12),0)),8&lt;='Ayarlar'!$B$6),IF('Proje girdileri'!AT5=0,MIN('Proje girdileri'!AH5,'Ayarlar'!$B$6-8+1),(1-POWER(1-'Proje girdileri'!AT5,MIN('Proje girdileri'!AH5,'Ayarlar'!$B$6-8+1)))/'Proje girdileri'!AT5),0)+IF(AND(9&gt;IF('Ayarlar'!$B$7&lt;=0,99,ROUNDUP(MAX('Proje girdileri'!AC5,ROUNDUP('Proje girdileri'!AD5/'Ayarlar'!$B$7,0))/(52/12),0)),9&lt;='Ayarlar'!$B$6),IF('Proje girdileri'!AT5=0,MIN('Proje girdileri'!AH5,'Ayarlar'!$B$6-9+1),(1-POWER(1-'Proje girdileri'!AT5,MIN('Proje girdileri'!AH5,'Ayarlar'!$B$6-9+1)))/'Proje girdileri'!AT5),0)+IF(AND(10&gt;IF('Ayarlar'!$B$7&lt;=0,99,ROUNDUP(MAX('Proje girdileri'!AC5,ROUNDUP('Proje girdileri'!AD5/'Ayarlar'!$B$7,0))/(52/12),0)),10&lt;='Ayarlar'!$B$6),IF('Proje girdileri'!AT5=0,MIN('Proje girdileri'!AH5,'Ayarlar'!$B$6-10+1),(1-POWER(1-'Proje girdileri'!AT5,MIN('Proje girdileri'!AH5,'Ayarlar'!$B$6-10+1)))/'Proje girdileri'!AT5),0)+IF(AND(11&gt;IF('Ayarlar'!$B$7&lt;=0,99,ROUNDUP(MAX('Proje girdileri'!AC5,ROUNDUP('Proje girdileri'!AD5/'Ayarlar'!$B$7,0))/(52/12),0)),11&lt;='Ayarlar'!$B$6),IF('Proje girdileri'!AT5=0,MIN('Proje girdileri'!AH5,'Ayarlar'!$B$6-11+1),(1-POWER(1-'Proje girdileri'!AT5,MIN('Proje girdileri'!AH5,'Ayarlar'!$B$6-11+1)))/'Proje girdileri'!AT5),0)+IF(AND(12&gt;IF('Ayarlar'!$B$7&lt;=0,99,ROUNDUP(MAX('Proje girdileri'!AC5,ROUNDUP('Proje girdileri'!AD5/'Ayarlar'!$B$7,0))/(52/12),0)),12&lt;='Ayarlar'!$B$6),IF('Proje girdileri'!AT5=0,MIN('Proje girdileri'!AH5,'Ayarlar'!$B$6-12+1),(1-POWER(1-'Proje girdileri'!AT5,MIN('Proje girdileri'!AH5,'Ayarlar'!$B$6-12+1)))/'Proje girdileri'!AT5),0))/MAX(0,'Ayarlar'!$B$6-IF('Ayarlar'!$B$7&lt;=0,99,ROUNDUP(MAX('Proje girdileri'!AC5,ROUNDUP('Proje girdileri'!AD5/'Ayarlar'!$B$7,0))/(52/12),0)))),1))</x:f>
        <x:v>1</x:v>
      </x:c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24" customHeight="1">
      <x:c r="A6" s="2" t="str">
        <x:f>'Proje girdileri'!A6</x:f>
        <x:v>Aile-02</x:v>
      </x:c>
      <x:c r="B6" s="2" t="str">
        <x:f>'Proje girdileri'!B6</x:f>
        <x:v>Ajan gözlem paneli</x:v>
      </x:c>
      <x:c r="C6" s="2" t="str">
        <x:f>IF(OR(COUNT('Proje girdileri'!D6:H6)&lt;&gt;5,MIN('Proje girdileri'!D6:H6)&lt;0,MAX('Proje girdileri'!D6:H6)&gt;2),"Yalnız deney",IF(MIN('Proje girdileri'!D6:H6)=0,"Kapsam/engel",IF(MIN('Proje girdileri'!D6:H6)=1,"Yalnız deney","Geçti")))</x:f>
        <x:v>Kapsam/engel</x:v>
      </x:c>
      <x:c r="D6" s="23" t="n">
        <x:f>IF(AND(COUNT('Proje girdileri'!I6:X6)=16,MIN('Proje girdileri'!I6:X6)&gt;=0,MAX('Proje girdileri'!I6:X6)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girdileri'!I6:X6,'Proje girdileri'!$I$2:$X$2)/5*100,"n.a.")</x:f>
        <x:v>25.900000000000006</x:v>
      </x:c>
      <x:c r="E6" s="23" t="n">
        <x:f>IF(AND(COUNT('Proje girdileri'!I6:X6)=16,MIN('Proje girdileri'!I6:X6)&gt;=0,MAX('Proje girdileri'!I6:X6)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girdileri'!I6:X6,'Proje girdileri'!$I$3:$X$3)/5*100,"n.a.")</x:f>
        <x:v>24.900000000000006</x:v>
      </x:c>
      <x:c r="F6" s="2" t="str">
        <x:f>IF(OR(COUNT('Ayarlar'!$B$5:$B$9)&lt;&gt;5,MIN('Ayarlar'!$B$5:$B$7)&lt;=0,MIN('Ayarlar'!$B$8:$B$9)&lt;0,NOT(ISNUMBER(H6)),H6&lt;=0),"n.a.",ROUNDUP(('Ayarlar'!$B$5+'Proje girdileri'!AI6+'Ayarlar'!$B$6*'Proje girdileri'!AJ6)/H6,0))</x:f>
        <x:v>n.a.</x:v>
      </x:c>
      <x:c r="G6" s="2" t="n">
        <x:f>IF(OR('Proje girdileri'!C6="internal",'Proje girdileri'!AE6+'Proje girdileri'!AF6+'Proje girdileri'!AG6*U6&lt;=0),0,MAX(0,ROUNDDOWN((MIN(T6*'Ayarlar'!$B$7,'Ayarlar'!$B$6*52/12*'Ayarlar'!$B$7-'Proje girdileri'!AD6)-T6*'Proje girdileri'!AK6)/('Proje girdileri'!AE6+'Proje girdileri'!AF6+'Proje girdileri'!AG6*U6),0)))</x:f>
        <x:v>0</x:v>
      </x:c>
      <x:c r="H6" s="24" t="n">
        <x:f>IF(COUNT('Proje girdileri'!Y6:AL6)&lt;&gt;14,"n.a.",('Proje girdileri'!Y6*(1-'Proje girdileri'!AA6-'Proje girdileri'!AB6)-'Proje girdileri'!Z6)*U6)</x:f>
        <x:v>0</x:v>
      </x:c>
      <x:c r="I6" s="24" t="n">
        <x:f>IF(ISNUMBER(H6),IF(H6&gt;0,MIN('Proje girdileri'!AL6,G6),0),"n.a.")</x:f>
        <x:v>0</x:v>
      </x:c>
      <x:c r="J6" s="24" t="n">
        <x:f>IF(ISNUMBER(H6),I6*H6-'Proje girdileri'!AI6-'Ayarlar'!$B$6*'Proje girdileri'!AJ6,"n.a.")</x:f>
        <x:v>0</x:v>
      </x:c>
      <x:c r="K6" s="23" t="n">
        <x:f>IF(ISNUMBER(I6),'Proje girdileri'!AD6+T6*'Proje girdileri'!AK6+I6*('Proje girdileri'!AE6+'Proje girdileri'!AF6+'Proje girdileri'!AG6*U6),"n.a.")</x:f>
        <x:v>0</x:v>
      </x:c>
      <x:c r="L6" s="23" t="n">
        <x:f>IF(ISNUMBER(J6),J6-K6*'Ayarlar'!$B$9,"n.a.")</x:f>
        <x:v>0</x:v>
      </x:c>
      <x:c r="M6" s="23" t="n">
        <x:f>IF(AND(ISNUMBER(K6),'Ayarlar'!$B$6&gt;0),K6/('Ayarlar'!$B$6*52/12),"n.a.")</x:f>
        <x:v>0</x:v>
      </x:c>
      <x:c r="N6" s="2" t="str">
        <x:f>IF('Proje girdileri'!AI6&lt;='Ayarlar'!$B$8,"Sığar","Aşar")</x:f>
        <x:v>Sığar</x:v>
      </x:c>
      <x:c r="O6" s="2" t="str">
        <x:f>IF(ISNUMBER(F6),IF(F6&lt;=G6,"Sığar","Aşar"),"n.a.")</x:f>
        <x:v>n.a.</x:v>
      </x:c>
      <x:c r="P6" s="2" t="str">
        <x:f>IF(OR(C6="Kapsam/engel",NOT(ISNUMBER(D6))),"n.a.",COUNTIFS($D$5:$D$50,"&gt;"&amp;D6,$C$5:$C$50,"&lt;&gt;Kapsam/engel")+COUNTIFS($D$5:D6,D6,$C$5:C6,"&lt;&gt;Kapsam/engel"))</x:f>
        <x:v>n.a.</x:v>
      </x:c>
      <x:c r="Q6" s="2" t="str">
        <x:f>IF(OR(C6="Kapsam/engel",NOT(ISNUMBER(E6))),"n.a.",COUNTIFS($E$5:$E$50,"&gt;"&amp;E6,$C$5:$C$50,"&lt;&gt;Kapsam/engel")+COUNTIFS($E$5:E6,E6,$C$5:C6,"&lt;&gt;Kapsam/engel"))</x:f>
        <x:v>n.a.</x:v>
      </x:c>
      <x:c r="R6" s="2" t="str">
        <x:f>IF(AND(C6="Geçti",N6="Sığar",O6="Sığar"),COUNTIFS($D$5:$D$50,"&gt;"&amp;D6,$C$5:$C$50,"Geçti",$N$5:$N$50,"Sığar",$O$5:$O$50,"Sığar")+COUNTIFS($D$5:D6,D6,$C$5:C6,"Geçti",$N$5:N6,"Sığar",$O$5:O6,"Sığar"),"n.a.")</x:f>
        <x:v>n.a.</x:v>
      </x:c>
      <x:c r="S6" s="24" t="n">
        <x:f>IF(ISNUMBER(J6),J6-MAX(0,J6)*'Ayarlar'!$B$10,"n.a.")</x:f>
        <x:v>0</x:v>
      </x:c>
      <x:c r="T6" s="2" t="n">
        <x:f>IF('Ayarlar'!$B$7&lt;=0,0,MAX(0,'Ayarlar'!$B$6*52/12-MAX('Proje girdileri'!AC6,ROUNDUP('Proje girdileri'!AD6/'Ayarlar'!$B$7,0))))</x:f>
        <x:v>26</x:v>
      </x:c>
      <x:c r="U6" s="2" t="n">
        <x:f>IF(T6=0,0,IF('Proje girdileri'!C6="recurring",IF(MAX(0,'Ayarlar'!$B$6-IF('Ayarlar'!$B$7&lt;=0,99,ROUNDUP(MAX('Proje girdileri'!AC6,ROUNDUP('Proje girdileri'!AD6/'Ayarlar'!$B$7,0))/(52/12),0)))=0,0,(IF(AND(1&gt;IF('Ayarlar'!$B$7&lt;=0,99,ROUNDUP(MAX('Proje girdileri'!AC6,ROUNDUP('Proje girdileri'!AD6/'Ayarlar'!$B$7,0))/(52/12),0)),1&lt;='Ayarlar'!$B$6),IF('Proje girdileri'!AT6=0,MIN('Proje girdileri'!AH6,'Ayarlar'!$B$6-1+1),(1-POWER(1-'Proje girdileri'!AT6,MIN('Proje girdileri'!AH6,'Ayarlar'!$B$6-1+1)))/'Proje girdileri'!AT6),0)+IF(AND(2&gt;IF('Ayarlar'!$B$7&lt;=0,99,ROUNDUP(MAX('Proje girdileri'!AC6,ROUNDUP('Proje girdileri'!AD6/'Ayarlar'!$B$7,0))/(52/12),0)),2&lt;='Ayarlar'!$B$6),IF('Proje girdileri'!AT6=0,MIN('Proje girdileri'!AH6,'Ayarlar'!$B$6-2+1),(1-POWER(1-'Proje girdileri'!AT6,MIN('Proje girdileri'!AH6,'Ayarlar'!$B$6-2+1)))/'Proje girdileri'!AT6),0)+IF(AND(3&gt;IF('Ayarlar'!$B$7&lt;=0,99,ROUNDUP(MAX('Proje girdileri'!AC6,ROUNDUP('Proje girdileri'!AD6/'Ayarlar'!$B$7,0))/(52/12),0)),3&lt;='Ayarlar'!$B$6),IF('Proje girdileri'!AT6=0,MIN('Proje girdileri'!AH6,'Ayarlar'!$B$6-3+1),(1-POWER(1-'Proje girdileri'!AT6,MIN('Proje girdileri'!AH6,'Ayarlar'!$B$6-3+1)))/'Proje girdileri'!AT6),0)+IF(AND(4&gt;IF('Ayarlar'!$B$7&lt;=0,99,ROUNDUP(MAX('Proje girdileri'!AC6,ROUNDUP('Proje girdileri'!AD6/'Ayarlar'!$B$7,0))/(52/12),0)),4&lt;='Ayarlar'!$B$6),IF('Proje girdileri'!AT6=0,MIN('Proje girdileri'!AH6,'Ayarlar'!$B$6-4+1),(1-POWER(1-'Proje girdileri'!AT6,MIN('Proje girdileri'!AH6,'Ayarlar'!$B$6-4+1)))/'Proje girdileri'!AT6),0)+IF(AND(5&gt;IF('Ayarlar'!$B$7&lt;=0,99,ROUNDUP(MAX('Proje girdileri'!AC6,ROUNDUP('Proje girdileri'!AD6/'Ayarlar'!$B$7,0))/(52/12),0)),5&lt;='Ayarlar'!$B$6),IF('Proje girdileri'!AT6=0,MIN('Proje girdileri'!AH6,'Ayarlar'!$B$6-5+1),(1-POWER(1-'Proje girdileri'!AT6,MIN('Proje girdileri'!AH6,'Ayarlar'!$B$6-5+1)))/'Proje girdileri'!AT6),0)+IF(AND(6&gt;IF('Ayarlar'!$B$7&lt;=0,99,ROUNDUP(MAX('Proje girdileri'!AC6,ROUNDUP('Proje girdileri'!AD6/'Ayarlar'!$B$7,0))/(52/12),0)),6&lt;='Ayarlar'!$B$6),IF('Proje girdileri'!AT6=0,MIN('Proje girdileri'!AH6,'Ayarlar'!$B$6-6+1),(1-POWER(1-'Proje girdileri'!AT6,MIN('Proje girdileri'!AH6,'Ayarlar'!$B$6-6+1)))/'Proje girdileri'!AT6),0)+IF(AND(7&gt;IF('Ayarlar'!$B$7&lt;=0,99,ROUNDUP(MAX('Proje girdileri'!AC6,ROUNDUP('Proje girdileri'!AD6/'Ayarlar'!$B$7,0))/(52/12),0)),7&lt;='Ayarlar'!$B$6),IF('Proje girdileri'!AT6=0,MIN('Proje girdileri'!AH6,'Ayarlar'!$B$6-7+1),(1-POWER(1-'Proje girdileri'!AT6,MIN('Proje girdileri'!AH6,'Ayarlar'!$B$6-7+1)))/'Proje girdileri'!AT6),0)+IF(AND(8&gt;IF('Ayarlar'!$B$7&lt;=0,99,ROUNDUP(MAX('Proje girdileri'!AC6,ROUNDUP('Proje girdileri'!AD6/'Ayarlar'!$B$7,0))/(52/12),0)),8&lt;='Ayarlar'!$B$6),IF('Proje girdileri'!AT6=0,MIN('Proje girdileri'!AH6,'Ayarlar'!$B$6-8+1),(1-POWER(1-'Proje girdileri'!AT6,MIN('Proje girdileri'!AH6,'Ayarlar'!$B$6-8+1)))/'Proje girdileri'!AT6),0)+IF(AND(9&gt;IF('Ayarlar'!$B$7&lt;=0,99,ROUNDUP(MAX('Proje girdileri'!AC6,ROUNDUP('Proje girdileri'!AD6/'Ayarlar'!$B$7,0))/(52/12),0)),9&lt;='Ayarlar'!$B$6),IF('Proje girdileri'!AT6=0,MIN('Proje girdileri'!AH6,'Ayarlar'!$B$6-9+1),(1-POWER(1-'Proje girdileri'!AT6,MIN('Proje girdileri'!AH6,'Ayarlar'!$B$6-9+1)))/'Proje girdileri'!AT6),0)+IF(AND(10&gt;IF('Ayarlar'!$B$7&lt;=0,99,ROUNDUP(MAX('Proje girdileri'!AC6,ROUNDUP('Proje girdileri'!AD6/'Ayarlar'!$B$7,0))/(52/12),0)),10&lt;='Ayarlar'!$B$6),IF('Proje girdileri'!AT6=0,MIN('Proje girdileri'!AH6,'Ayarlar'!$B$6-10+1),(1-POWER(1-'Proje girdileri'!AT6,MIN('Proje girdileri'!AH6,'Ayarlar'!$B$6-10+1)))/'Proje girdileri'!AT6),0)+IF(AND(11&gt;IF('Ayarlar'!$B$7&lt;=0,99,ROUNDUP(MAX('Proje girdileri'!AC6,ROUNDUP('Proje girdileri'!AD6/'Ayarlar'!$B$7,0))/(52/12),0)),11&lt;='Ayarlar'!$B$6),IF('Proje girdileri'!AT6=0,MIN('Proje girdileri'!AH6,'Ayarlar'!$B$6-11+1),(1-POWER(1-'Proje girdileri'!AT6,MIN('Proje girdileri'!AH6,'Ayarlar'!$B$6-11+1)))/'Proje girdileri'!AT6),0)+IF(AND(12&gt;IF('Ayarlar'!$B$7&lt;=0,99,ROUNDUP(MAX('Proje girdileri'!AC6,ROUNDUP('Proje girdileri'!AD6/'Ayarlar'!$B$7,0))/(52/12),0)),12&lt;='Ayarlar'!$B$6),IF('Proje girdileri'!AT6=0,MIN('Proje girdileri'!AH6,'Ayarlar'!$B$6-12+1),(1-POWER(1-'Proje girdileri'!AT6,MIN('Proje girdileri'!AH6,'Ayarlar'!$B$6-12+1)))/'Proje girdileri'!AT6),0))/MAX(0,'Ayarlar'!$B$6-IF('Ayarlar'!$B$7&lt;=0,99,ROUNDUP(MAX('Proje girdileri'!AC6,ROUNDUP('Proje girdileri'!AD6/'Ayarlar'!$B$7,0))/(52/12),0)))),1))</x:f>
        <x:v>1</x:v>
      </x:c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24" customHeight="1">
      <x:c r="A7" s="2" t="str">
        <x:f>'Proje girdileri'!A7</x:f>
        <x:v>Aile-03</x:v>
      </x:c>
      <x:c r="B7" s="2" t="str">
        <x:f>'Proje girdileri'!B7</x:f>
        <x:v>AI First EA</x:v>
      </x:c>
      <x:c r="C7" s="2" t="str">
        <x:f>IF(OR(COUNT('Proje girdileri'!D7:H7)&lt;&gt;5,MIN('Proje girdileri'!D7:H7)&lt;0,MAX('Proje girdileri'!D7:H7)&gt;2),"Yalnız deney",IF(MIN('Proje girdileri'!D7:H7)=0,"Kapsam/engel",IF(MIN('Proje girdileri'!D7:H7)=1,"Yalnız deney","Geçti")))</x:f>
        <x:v>Yalnız deney</x:v>
      </x:c>
      <x:c r="D7" s="23" t="n">
        <x:f>IF(AND(COUNT('Proje girdileri'!I7:X7)=16,MIN('Proje girdileri'!I7:X7)&gt;=0,MAX('Proje girdileri'!I7:X7)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girdileri'!I7:X7,'Proje girdileri'!$I$2:$X$2)/5*100,"n.a.")</x:f>
        <x:v>44.800000000000004</x:v>
      </x:c>
      <x:c r="E7" s="23" t="n">
        <x:f>IF(AND(COUNT('Proje girdileri'!I7:X7)=16,MIN('Proje girdileri'!I7:X7)&gt;=0,MAX('Proje girdileri'!I7:X7)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girdileri'!I7:X7,'Proje girdileri'!$I$3:$X$3)/5*100,"n.a.")</x:f>
        <x:v>42.800000000000004</x:v>
      </x:c>
      <x:c r="F7" s="2" t="n">
        <x:f>IF(OR(COUNT('Ayarlar'!$B$5:$B$9)&lt;&gt;5,MIN('Ayarlar'!$B$5:$B$7)&lt;=0,MIN('Ayarlar'!$B$8:$B$9)&lt;0,NOT(ISNUMBER(H7)),H7&lt;=0),"n.a.",ROUNDUP(('Ayarlar'!$B$5+'Proje girdileri'!AI7+'Ayarlar'!$B$6*'Proje girdileri'!AJ7)/H7,0))</x:f>
        <x:v>5</x:v>
      </x:c>
      <x:c r="G7" s="2" t="n">
        <x:f>IF(OR('Proje girdileri'!C7="internal",'Proje girdileri'!AE7+'Proje girdileri'!AF7+'Proje girdileri'!AG7*U7&lt;=0),0,MAX(0,ROUNDDOWN((MIN(T7*'Ayarlar'!$B$7,'Ayarlar'!$B$6*52/12*'Ayarlar'!$B$7-'Proje girdileri'!AD7)-T7*'Proje girdileri'!AK7)/('Proje girdileri'!AE7+'Proje girdileri'!AF7+'Proje girdileri'!AG7*U7),0)))</x:f>
        <x:v>6</x:v>
      </x:c>
      <x:c r="H7" s="24" t="n">
        <x:f>IF(COUNT('Proje girdileri'!Y7:AL7)&lt;&gt;14,"n.a.",('Proje girdileri'!Y7*(1-'Proje girdileri'!AA7-'Proje girdileri'!AB7)-'Proje girdileri'!Z7)*U7)</x:f>
        <x:v>652</x:v>
      </x:c>
      <x:c r="I7" s="24" t="n">
        <x:f>IF(ISNUMBER(H7),IF(H7&gt;0,MIN('Proje girdileri'!AL7,G7),0),"n.a.")</x:f>
        <x:v>3</x:v>
      </x:c>
      <x:c r="J7" s="24" t="n">
        <x:f>IF(ISNUMBER(H7),I7*H7-'Proje girdileri'!AI7-'Ayarlar'!$B$6*'Proje girdileri'!AJ7,"n.a.")</x:f>
        <x:v>1716</x:v>
      </x:c>
      <x:c r="K7" s="23" t="n">
        <x:f>IF(ISNUMBER(I7),'Proje girdileri'!AD7+T7*'Proje girdileri'!AK7+I7*('Proje girdileri'!AE7+'Proje girdileri'!AF7+'Proje girdileri'!AG7*U7),"n.a.")</x:f>
        <x:v>77.5</x:v>
      </x:c>
      <x:c r="L7" s="23" t="n">
        <x:f>IF(ISNUMBER(J7),J7-K7*'Ayarlar'!$B$9,"n.a.")</x:f>
        <x:v>-221.5</x:v>
      </x:c>
      <x:c r="M7" s="23" t="n">
        <x:f>IF(AND(ISNUMBER(K7),'Ayarlar'!$B$6&gt;0),K7/('Ayarlar'!$B$6*52/12),"n.a.")</x:f>
        <x:v>2.980769230769231</x:v>
      </x:c>
      <x:c r="N7" s="2" t="str">
        <x:f>IF('Proje girdileri'!AI7&lt;='Ayarlar'!$B$8,"Sığar","Aşar")</x:f>
        <x:v>Sığar</x:v>
      </x:c>
      <x:c r="O7" s="2" t="str">
        <x:f>IF(ISNUMBER(F7),IF(F7&lt;=G7,"Sığar","Aşar"),"n.a.")</x:f>
        <x:v>Sığar</x:v>
      </x:c>
      <x:c r="P7" s="2" t="n">
        <x:f>IF(OR(C7="Kapsam/engel",NOT(ISNUMBER(D7))),"n.a.",COUNTIFS($D$5:$D$50,"&gt;"&amp;D7,$C$5:$C$50,"&lt;&gt;Kapsam/engel")+COUNTIFS($D$5:D7,D7,$C$5:C7,"&lt;&gt;Kapsam/engel"))</x:f>
        <x:v>32</x:v>
      </x:c>
      <x:c r="Q7" s="2" t="n">
        <x:f>IF(OR(C7="Kapsam/engel",NOT(ISNUMBER(E7))),"n.a.",COUNTIFS($E$5:$E$50,"&gt;"&amp;E7,$C$5:$C$50,"&lt;&gt;Kapsam/engel")+COUNTIFS($E$5:E7,E7,$C$5:C7,"&lt;&gt;Kapsam/engel"))</x:f>
        <x:v>34</x:v>
      </x:c>
      <x:c r="R7" s="2" t="str">
        <x:f>IF(AND(C7="Geçti",N7="Sığar",O7="Sığar"),COUNTIFS($D$5:$D$50,"&gt;"&amp;D7,$C$5:$C$50,"Geçti",$N$5:$N$50,"Sığar",$O$5:$O$50,"Sığar")+COUNTIFS($D$5:D7,D7,$C$5:C7,"Geçti",$N$5:N7,"Sığar",$O$5:O7,"Sığar"),"n.a.")</x:f>
        <x:v>n.a.</x:v>
      </x:c>
      <x:c r="S7" s="24" t="n">
        <x:f>IF(ISNUMBER(J7),J7-MAX(0,J7)*'Ayarlar'!$B$10,"n.a.")</x:f>
        <x:v>1716</x:v>
      </x:c>
      <x:c r="T7" s="2" t="n">
        <x:f>IF('Ayarlar'!$B$7&lt;=0,0,MAX(0,'Ayarlar'!$B$6*52/12-MAX('Proje girdileri'!AC7,ROUNDUP('Proje girdileri'!AD7/'Ayarlar'!$B$7,0))))</x:f>
        <x:v>22</x:v>
      </x:c>
      <x:c r="U7" s="2" t="n">
        <x:f>IF(T7=0,0,IF('Proje girdileri'!C7="recurring",IF(MAX(0,'Ayarlar'!$B$6-IF('Ayarlar'!$B$7&lt;=0,99,ROUNDUP(MAX('Proje girdileri'!AC7,ROUNDUP('Proje girdileri'!AD7/'Ayarlar'!$B$7,0))/(52/12),0)))=0,0,(IF(AND(1&gt;IF('Ayarlar'!$B$7&lt;=0,99,ROUNDUP(MAX('Proje girdileri'!AC7,ROUNDUP('Proje girdileri'!AD7/'Ayarlar'!$B$7,0))/(52/12),0)),1&lt;='Ayarlar'!$B$6),IF('Proje girdileri'!AT7=0,MIN('Proje girdileri'!AH7,'Ayarlar'!$B$6-1+1),(1-POWER(1-'Proje girdileri'!AT7,MIN('Proje girdileri'!AH7,'Ayarlar'!$B$6-1+1)))/'Proje girdileri'!AT7),0)+IF(AND(2&gt;IF('Ayarlar'!$B$7&lt;=0,99,ROUNDUP(MAX('Proje girdileri'!AC7,ROUNDUP('Proje girdileri'!AD7/'Ayarlar'!$B$7,0))/(52/12),0)),2&lt;='Ayarlar'!$B$6),IF('Proje girdileri'!AT7=0,MIN('Proje girdileri'!AH7,'Ayarlar'!$B$6-2+1),(1-POWER(1-'Proje girdileri'!AT7,MIN('Proje girdileri'!AH7,'Ayarlar'!$B$6-2+1)))/'Proje girdileri'!AT7),0)+IF(AND(3&gt;IF('Ayarlar'!$B$7&lt;=0,99,ROUNDUP(MAX('Proje girdileri'!AC7,ROUNDUP('Proje girdileri'!AD7/'Ayarlar'!$B$7,0))/(52/12),0)),3&lt;='Ayarlar'!$B$6),IF('Proje girdileri'!AT7=0,MIN('Proje girdileri'!AH7,'Ayarlar'!$B$6-3+1),(1-POWER(1-'Proje girdileri'!AT7,MIN('Proje girdileri'!AH7,'Ayarlar'!$B$6-3+1)))/'Proje girdileri'!AT7),0)+IF(AND(4&gt;IF('Ayarlar'!$B$7&lt;=0,99,ROUNDUP(MAX('Proje girdileri'!AC7,ROUNDUP('Proje girdileri'!AD7/'Ayarlar'!$B$7,0))/(52/12),0)),4&lt;='Ayarlar'!$B$6),IF('Proje girdileri'!AT7=0,MIN('Proje girdileri'!AH7,'Ayarlar'!$B$6-4+1),(1-POWER(1-'Proje girdileri'!AT7,MIN('Proje girdileri'!AH7,'Ayarlar'!$B$6-4+1)))/'Proje girdileri'!AT7),0)+IF(AND(5&gt;IF('Ayarlar'!$B$7&lt;=0,99,ROUNDUP(MAX('Proje girdileri'!AC7,ROUNDUP('Proje girdileri'!AD7/'Ayarlar'!$B$7,0))/(52/12),0)),5&lt;='Ayarlar'!$B$6),IF('Proje girdileri'!AT7=0,MIN('Proje girdileri'!AH7,'Ayarlar'!$B$6-5+1),(1-POWER(1-'Proje girdileri'!AT7,MIN('Proje girdileri'!AH7,'Ayarlar'!$B$6-5+1)))/'Proje girdileri'!AT7),0)+IF(AND(6&gt;IF('Ayarlar'!$B$7&lt;=0,99,ROUNDUP(MAX('Proje girdileri'!AC7,ROUNDUP('Proje girdileri'!AD7/'Ayarlar'!$B$7,0))/(52/12),0)),6&lt;='Ayarlar'!$B$6),IF('Proje girdileri'!AT7=0,MIN('Proje girdileri'!AH7,'Ayarlar'!$B$6-6+1),(1-POWER(1-'Proje girdileri'!AT7,MIN('Proje girdileri'!AH7,'Ayarlar'!$B$6-6+1)))/'Proje girdileri'!AT7),0)+IF(AND(7&gt;IF('Ayarlar'!$B$7&lt;=0,99,ROUNDUP(MAX('Proje girdileri'!AC7,ROUNDUP('Proje girdileri'!AD7/'Ayarlar'!$B$7,0))/(52/12),0)),7&lt;='Ayarlar'!$B$6),IF('Proje girdileri'!AT7=0,MIN('Proje girdileri'!AH7,'Ayarlar'!$B$6-7+1),(1-POWER(1-'Proje girdileri'!AT7,MIN('Proje girdileri'!AH7,'Ayarlar'!$B$6-7+1)))/'Proje girdileri'!AT7),0)+IF(AND(8&gt;IF('Ayarlar'!$B$7&lt;=0,99,ROUNDUP(MAX('Proje girdileri'!AC7,ROUNDUP('Proje girdileri'!AD7/'Ayarlar'!$B$7,0))/(52/12),0)),8&lt;='Ayarlar'!$B$6),IF('Proje girdileri'!AT7=0,MIN('Proje girdileri'!AH7,'Ayarlar'!$B$6-8+1),(1-POWER(1-'Proje girdileri'!AT7,MIN('Proje girdileri'!AH7,'Ayarlar'!$B$6-8+1)))/'Proje girdileri'!AT7),0)+IF(AND(9&gt;IF('Ayarlar'!$B$7&lt;=0,99,ROUNDUP(MAX('Proje girdileri'!AC7,ROUNDUP('Proje girdileri'!AD7/'Ayarlar'!$B$7,0))/(52/12),0)),9&lt;='Ayarlar'!$B$6),IF('Proje girdileri'!AT7=0,MIN('Proje girdileri'!AH7,'Ayarlar'!$B$6-9+1),(1-POWER(1-'Proje girdileri'!AT7,MIN('Proje girdileri'!AH7,'Ayarlar'!$B$6-9+1)))/'Proje girdileri'!AT7),0)+IF(AND(10&gt;IF('Ayarlar'!$B$7&lt;=0,99,ROUNDUP(MAX('Proje girdileri'!AC7,ROUNDUP('Proje girdileri'!AD7/'Ayarlar'!$B$7,0))/(52/12),0)),10&lt;='Ayarlar'!$B$6),IF('Proje girdileri'!AT7=0,MIN('Proje girdileri'!AH7,'Ayarlar'!$B$6-10+1),(1-POWER(1-'Proje girdileri'!AT7,MIN('Proje girdileri'!AH7,'Ayarlar'!$B$6-10+1)))/'Proje girdileri'!AT7),0)+IF(AND(11&gt;IF('Ayarlar'!$B$7&lt;=0,99,ROUNDUP(MAX('Proje girdileri'!AC7,ROUNDUP('Proje girdileri'!AD7/'Ayarlar'!$B$7,0))/(52/12),0)),11&lt;='Ayarlar'!$B$6),IF('Proje girdileri'!AT7=0,MIN('Proje girdileri'!AH7,'Ayarlar'!$B$6-11+1),(1-POWER(1-'Proje girdileri'!AT7,MIN('Proje girdileri'!AH7,'Ayarlar'!$B$6-11+1)))/'Proje girdileri'!AT7),0)+IF(AND(12&gt;IF('Ayarlar'!$B$7&lt;=0,99,ROUNDUP(MAX('Proje girdileri'!AC7,ROUNDUP('Proje girdileri'!AD7/'Ayarlar'!$B$7,0))/(52/12),0)),12&lt;='Ayarlar'!$B$6),IF('Proje girdileri'!AT7=0,MIN('Proje girdileri'!AH7,'Ayarlar'!$B$6-12+1),(1-POWER(1-'Proje girdileri'!AT7,MIN('Proje girdileri'!AH7,'Ayarlar'!$B$6-12+1)))/'Proje girdileri'!AT7),0))/MAX(0,'Ayarlar'!$B$6-IF('Ayarlar'!$B$7&lt;=0,99,ROUNDUP(MAX('Proje girdileri'!AC7,ROUNDUP('Proje girdileri'!AD7/'Ayarlar'!$B$7,0))/(52/12),0)))),1))</x:f>
        <x:v>1</x:v>
      </x:c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24" customHeight="1">
      <x:c r="A8" s="2" t="str">
        <x:f>'Proje girdileri'!A8</x:f>
        <x:v>Aile-04</x:v>
      </x:c>
      <x:c r="B8" s="2" t="str">
        <x:f>'Proje girdileri'!B8</x:f>
        <x:v>AiCommandCard</x:v>
      </x:c>
      <x:c r="C8" s="2" t="str">
        <x:f>IF(OR(COUNT('Proje girdileri'!D8:H8)&lt;&gt;5,MIN('Proje girdileri'!D8:H8)&lt;0,MAX('Proje girdileri'!D8:H8)&gt;2),"Yalnız deney",IF(MIN('Proje girdileri'!D8:H8)=0,"Kapsam/engel",IF(MIN('Proje girdileri'!D8:H8)=1,"Yalnız deney","Geçti")))</x:f>
        <x:v>Yalnız deney</x:v>
      </x:c>
      <x:c r="D8" s="23" t="n">
        <x:f>IF(AND(COUNT('Proje girdileri'!I8:X8)=16,MIN('Proje girdileri'!I8:X8)&gt;=0,MAX('Proje girdileri'!I8:X8)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girdileri'!I8:X8,'Proje girdileri'!$I$2:$X$2)/5*100,"n.a.")</x:f>
        <x:v>46.400000000000006</x:v>
      </x:c>
      <x:c r="E8" s="23" t="n">
        <x:f>IF(AND(COUNT('Proje girdileri'!I8:X8)=16,MIN('Proje girdileri'!I8:X8)&gt;=0,MAX('Proje girdileri'!I8:X8)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girdileri'!I8:X8,'Proje girdileri'!$I$3:$X$3)/5*100,"n.a.")</x:f>
        <x:v>46.699999999999996</x:v>
      </x:c>
      <x:c r="F8" s="2" t="n">
        <x:f>IF(OR(COUNT('Ayarlar'!$B$5:$B$9)&lt;&gt;5,MIN('Ayarlar'!$B$5:$B$7)&lt;=0,MIN('Ayarlar'!$B$8:$B$9)&lt;0,NOT(ISNUMBER(H8)),H8&lt;=0),"n.a.",ROUNDUP(('Ayarlar'!$B$5+'Proje girdileri'!AI8+'Ayarlar'!$B$6*'Proje girdileri'!AJ8)/H8,0))</x:f>
        <x:v>95</x:v>
      </x:c>
      <x:c r="G8" s="2" t="n">
        <x:f>IF(OR('Proje girdileri'!C8="internal",'Proje girdileri'!AE8+'Proje girdileri'!AF8+'Proje girdileri'!AG8*U8&lt;=0),0,MAX(0,ROUNDDOWN((MIN(T8*'Ayarlar'!$B$7,'Ayarlar'!$B$6*52/12*'Ayarlar'!$B$7-'Proje girdileri'!AD8)-T8*'Proje girdileri'!AK8)/('Proje girdileri'!AE8+'Proje girdileri'!AF8+'Proje girdileri'!AG8*U8),0)))</x:f>
        <x:v>177</x:v>
      </x:c>
      <x:c r="H8" s="24" t="n">
        <x:f>IF(COUNT('Proje girdileri'!Y8:AL8)&lt;&gt;14,"n.a.",('Proje girdileri'!Y8*(1-'Proje girdileri'!AA8-'Proje girdileri'!AB8)-'Proje girdileri'!Z8)*U8)</x:f>
        <x:v>33.099999999999994</x:v>
      </x:c>
      <x:c r="I8" s="24" t="n">
        <x:f>IF(ISNUMBER(H8),IF(H8&gt;0,MIN('Proje girdileri'!AL8,G8),0),"n.a.")</x:f>
        <x:v>15</x:v>
      </x:c>
      <x:c r="J8" s="24" t="n">
        <x:f>IF(ISNUMBER(H8),I8*H8-'Proje girdileri'!AI8-'Ayarlar'!$B$6*'Proje girdileri'!AJ8,"n.a.")</x:f>
        <x:v>373.4999999999999</x:v>
      </x:c>
      <x:c r="K8" s="23" t="n">
        <x:f>IF(ISNUMBER(I8),'Proje girdileri'!AD8+T8*'Proje girdileri'!AK8+I8*('Proje girdileri'!AE8+'Proje girdileri'!AF8+'Proje girdileri'!AG8*U8),"n.a.")</x:f>
        <x:v>56.75</x:v>
      </x:c>
      <x:c r="L8" s="23" t="n">
        <x:f>IF(ISNUMBER(J8),J8-K8*'Ayarlar'!$B$9,"n.a.")</x:f>
        <x:v>-1045.25</x:v>
      </x:c>
      <x:c r="M8" s="23" t="n">
        <x:f>IF(AND(ISNUMBER(K8),'Ayarlar'!$B$6&gt;0),K8/('Ayarlar'!$B$6*52/12),"n.a.")</x:f>
        <x:v>2.1826923076923075</x:v>
      </x:c>
      <x:c r="N8" s="2" t="str">
        <x:f>IF('Proje girdileri'!AI8&lt;='Ayarlar'!$B$8,"Sığar","Aşar")</x:f>
        <x:v>Sığar</x:v>
      </x:c>
      <x:c r="O8" s="2" t="str">
        <x:f>IF(ISNUMBER(F8),IF(F8&lt;=G8,"Sığar","Aşar"),"n.a.")</x:f>
        <x:v>Sığar</x:v>
      </x:c>
      <x:c r="P8" s="2" t="n">
        <x:f>IF(OR(C8="Kapsam/engel",NOT(ISNUMBER(D8))),"n.a.",COUNTIFS($D$5:$D$50,"&gt;"&amp;D8,$C$5:$C$50,"&lt;&gt;Kapsam/engel")+COUNTIFS($D$5:D8,D8,$C$5:C8,"&lt;&gt;Kapsam/engel"))</x:f>
        <x:v>27</x:v>
      </x:c>
      <x:c r="Q8" s="2" t="n">
        <x:f>IF(OR(C8="Kapsam/engel",NOT(ISNUMBER(E8))),"n.a.",COUNTIFS($E$5:$E$50,"&gt;"&amp;E8,$C$5:$C$50,"&lt;&gt;Kapsam/engel")+COUNTIFS($E$5:E8,E8,$C$5:C8,"&lt;&gt;Kapsam/engel"))</x:f>
        <x:v>22</x:v>
      </x:c>
      <x:c r="R8" s="2" t="str">
        <x:f>IF(AND(C8="Geçti",N8="Sığar",O8="Sığar"),COUNTIFS($D$5:$D$50,"&gt;"&amp;D8,$C$5:$C$50,"Geçti",$N$5:$N$50,"Sığar",$O$5:$O$50,"Sığar")+COUNTIFS($D$5:D8,D8,$C$5:C8,"Geçti",$N$5:N8,"Sığar",$O$5:O8,"Sığar"),"n.a.")</x:f>
        <x:v>n.a.</x:v>
      </x:c>
      <x:c r="S8" s="24" t="n">
        <x:f>IF(ISNUMBER(J8),J8-MAX(0,J8)*'Ayarlar'!$B$10,"n.a.")</x:f>
        <x:v>373.4999999999999</x:v>
      </x:c>
      <x:c r="T8" s="2" t="n">
        <x:f>IF('Ayarlar'!$B$7&lt;=0,0,MAX(0,'Ayarlar'!$B$6*52/12-MAX('Proje girdileri'!AC8,ROUNDUP('Proje girdileri'!AD8/'Ayarlar'!$B$7,0))))</x:f>
        <x:v>20</x:v>
      </x:c>
      <x:c r="U8" s="2" t="n">
        <x:f>IF(T8=0,0,IF('Proje girdileri'!C8="recurring",IF(MAX(0,'Ayarlar'!$B$6-IF('Ayarlar'!$B$7&lt;=0,99,ROUNDUP(MAX('Proje girdileri'!AC8,ROUNDUP('Proje girdileri'!AD8/'Ayarlar'!$B$7,0))/(52/12),0)))=0,0,(IF(AND(1&gt;IF('Ayarlar'!$B$7&lt;=0,99,ROUNDUP(MAX('Proje girdileri'!AC8,ROUNDUP('Proje girdileri'!AD8/'Ayarlar'!$B$7,0))/(52/12),0)),1&lt;='Ayarlar'!$B$6),IF('Proje girdileri'!AT8=0,MIN('Proje girdileri'!AH8,'Ayarlar'!$B$6-1+1),(1-POWER(1-'Proje girdileri'!AT8,MIN('Proje girdileri'!AH8,'Ayarlar'!$B$6-1+1)))/'Proje girdileri'!AT8),0)+IF(AND(2&gt;IF('Ayarlar'!$B$7&lt;=0,99,ROUNDUP(MAX('Proje girdileri'!AC8,ROUNDUP('Proje girdileri'!AD8/'Ayarlar'!$B$7,0))/(52/12),0)),2&lt;='Ayarlar'!$B$6),IF('Proje girdileri'!AT8=0,MIN('Proje girdileri'!AH8,'Ayarlar'!$B$6-2+1),(1-POWER(1-'Proje girdileri'!AT8,MIN('Proje girdileri'!AH8,'Ayarlar'!$B$6-2+1)))/'Proje girdileri'!AT8),0)+IF(AND(3&gt;IF('Ayarlar'!$B$7&lt;=0,99,ROUNDUP(MAX('Proje girdileri'!AC8,ROUNDUP('Proje girdileri'!AD8/'Ayarlar'!$B$7,0))/(52/12),0)),3&lt;='Ayarlar'!$B$6),IF('Proje girdileri'!AT8=0,MIN('Proje girdileri'!AH8,'Ayarlar'!$B$6-3+1),(1-POWER(1-'Proje girdileri'!AT8,MIN('Proje girdileri'!AH8,'Ayarlar'!$B$6-3+1)))/'Proje girdileri'!AT8),0)+IF(AND(4&gt;IF('Ayarlar'!$B$7&lt;=0,99,ROUNDUP(MAX('Proje girdileri'!AC8,ROUNDUP('Proje girdileri'!AD8/'Ayarlar'!$B$7,0))/(52/12),0)),4&lt;='Ayarlar'!$B$6),IF('Proje girdileri'!AT8=0,MIN('Proje girdileri'!AH8,'Ayarlar'!$B$6-4+1),(1-POWER(1-'Proje girdileri'!AT8,MIN('Proje girdileri'!AH8,'Ayarlar'!$B$6-4+1)))/'Proje girdileri'!AT8),0)+IF(AND(5&gt;IF('Ayarlar'!$B$7&lt;=0,99,ROUNDUP(MAX('Proje girdileri'!AC8,ROUNDUP('Proje girdileri'!AD8/'Ayarlar'!$B$7,0))/(52/12),0)),5&lt;='Ayarlar'!$B$6),IF('Proje girdileri'!AT8=0,MIN('Proje girdileri'!AH8,'Ayarlar'!$B$6-5+1),(1-POWER(1-'Proje girdileri'!AT8,MIN('Proje girdileri'!AH8,'Ayarlar'!$B$6-5+1)))/'Proje girdileri'!AT8),0)+IF(AND(6&gt;IF('Ayarlar'!$B$7&lt;=0,99,ROUNDUP(MAX('Proje girdileri'!AC8,ROUNDUP('Proje girdileri'!AD8/'Ayarlar'!$B$7,0))/(52/12),0)),6&lt;='Ayarlar'!$B$6),IF('Proje girdileri'!AT8=0,MIN('Proje girdileri'!AH8,'Ayarlar'!$B$6-6+1),(1-POWER(1-'Proje girdileri'!AT8,MIN('Proje girdileri'!AH8,'Ayarlar'!$B$6-6+1)))/'Proje girdileri'!AT8),0)+IF(AND(7&gt;IF('Ayarlar'!$B$7&lt;=0,99,ROUNDUP(MAX('Proje girdileri'!AC8,ROUNDUP('Proje girdileri'!AD8/'Ayarlar'!$B$7,0))/(52/12),0)),7&lt;='Ayarlar'!$B$6),IF('Proje girdileri'!AT8=0,MIN('Proje girdileri'!AH8,'Ayarlar'!$B$6-7+1),(1-POWER(1-'Proje girdileri'!AT8,MIN('Proje girdileri'!AH8,'Ayarlar'!$B$6-7+1)))/'Proje girdileri'!AT8),0)+IF(AND(8&gt;IF('Ayarlar'!$B$7&lt;=0,99,ROUNDUP(MAX('Proje girdileri'!AC8,ROUNDUP('Proje girdileri'!AD8/'Ayarlar'!$B$7,0))/(52/12),0)),8&lt;='Ayarlar'!$B$6),IF('Proje girdileri'!AT8=0,MIN('Proje girdileri'!AH8,'Ayarlar'!$B$6-8+1),(1-POWER(1-'Proje girdileri'!AT8,MIN('Proje girdileri'!AH8,'Ayarlar'!$B$6-8+1)))/'Proje girdileri'!AT8),0)+IF(AND(9&gt;IF('Ayarlar'!$B$7&lt;=0,99,ROUNDUP(MAX('Proje girdileri'!AC8,ROUNDUP('Proje girdileri'!AD8/'Ayarlar'!$B$7,0))/(52/12),0)),9&lt;='Ayarlar'!$B$6),IF('Proje girdileri'!AT8=0,MIN('Proje girdileri'!AH8,'Ayarlar'!$B$6-9+1),(1-POWER(1-'Proje girdileri'!AT8,MIN('Proje girdileri'!AH8,'Ayarlar'!$B$6-9+1)))/'Proje girdileri'!AT8),0)+IF(AND(10&gt;IF('Ayarlar'!$B$7&lt;=0,99,ROUNDUP(MAX('Proje girdileri'!AC8,ROUNDUP('Proje girdileri'!AD8/'Ayarlar'!$B$7,0))/(52/12),0)),10&lt;='Ayarlar'!$B$6),IF('Proje girdileri'!AT8=0,MIN('Proje girdileri'!AH8,'Ayarlar'!$B$6-10+1),(1-POWER(1-'Proje girdileri'!AT8,MIN('Proje girdileri'!AH8,'Ayarlar'!$B$6-10+1)))/'Proje girdileri'!AT8),0)+IF(AND(11&gt;IF('Ayarlar'!$B$7&lt;=0,99,ROUNDUP(MAX('Proje girdileri'!AC8,ROUNDUP('Proje girdileri'!AD8/'Ayarlar'!$B$7,0))/(52/12),0)),11&lt;='Ayarlar'!$B$6),IF('Proje girdileri'!AT8=0,MIN('Proje girdileri'!AH8,'Ayarlar'!$B$6-11+1),(1-POWER(1-'Proje girdileri'!AT8,MIN('Proje girdileri'!AH8,'Ayarlar'!$B$6-11+1)))/'Proje girdileri'!AT8),0)+IF(AND(12&gt;IF('Ayarlar'!$B$7&lt;=0,99,ROUNDUP(MAX('Proje girdileri'!AC8,ROUNDUP('Proje girdileri'!AD8/'Ayarlar'!$B$7,0))/(52/12),0)),12&lt;='Ayarlar'!$B$6),IF('Proje girdileri'!AT8=0,MIN('Proje girdileri'!AH8,'Ayarlar'!$B$6-12+1),(1-POWER(1-'Proje girdileri'!AT8,MIN('Proje girdileri'!AH8,'Ayarlar'!$B$6-12+1)))/'Proje girdileri'!AT8),0))/MAX(0,'Ayarlar'!$B$6-IF('Ayarlar'!$B$7&lt;=0,99,ROUNDUP(MAX('Proje girdileri'!AC8,ROUNDUP('Proje girdileri'!AD8/'Ayarlar'!$B$7,0))/(52/12),0)))),1))</x:f>
        <x:v>1</x:v>
      </x:c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24" customHeight="1">
      <x:c r="A9" s="2" t="str">
        <x:f>'Proje girdileri'!A9</x:f>
        <x:v>Aile-05</x:v>
      </x:c>
      <x:c r="B9" s="2" t="str">
        <x:f>'Proje girdileri'!B9</x:f>
        <x:v>Arsam ParselQ</x:v>
      </x:c>
      <x:c r="C9" s="2" t="str">
        <x:f>IF(OR(COUNT('Proje girdileri'!D9:H9)&lt;&gt;5,MIN('Proje girdileri'!D9:H9)&lt;0,MAX('Proje girdileri'!D9:H9)&gt;2),"Yalnız deney",IF(MIN('Proje girdileri'!D9:H9)=0,"Kapsam/engel",IF(MIN('Proje girdileri'!D9:H9)=1,"Yalnız deney","Geçti")))</x:f>
        <x:v>Yalnız deney</x:v>
      </x:c>
      <x:c r="D9" s="23" t="n">
        <x:f>IF(AND(COUNT('Proje girdileri'!I9:X9)=16,MIN('Proje girdileri'!I9:X9)&gt;=0,MAX('Proje girdileri'!I9:X9)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girdileri'!I9:X9,'Proje girdileri'!$I$2:$X$2)/5*100,"n.a.")</x:f>
        <x:v>50.8</x:v>
      </x:c>
      <x:c r="E9" s="23" t="n">
        <x:f>IF(AND(COUNT('Proje girdileri'!I9:X9)=16,MIN('Proje girdileri'!I9:X9)&gt;=0,MAX('Proje girdileri'!I9:X9)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girdileri'!I9:X9,'Proje girdileri'!$I$3:$X$3)/5*100,"n.a.")</x:f>
        <x:v>49.2</x:v>
      </x:c>
      <x:c r="F9" s="2" t="n">
        <x:f>IF(OR(COUNT('Ayarlar'!$B$5:$B$9)&lt;&gt;5,MIN('Ayarlar'!$B$5:$B$7)&lt;=0,MIN('Ayarlar'!$B$8:$B$9)&lt;0,NOT(ISNUMBER(H9)),H9&lt;=0),"n.a.",ROUNDUP(('Ayarlar'!$B$5+'Proje girdileri'!AI9+'Ayarlar'!$B$6*'Proje girdileri'!AJ9)/H9,0))</x:f>
        <x:v>24</x:v>
      </x:c>
      <x:c r="G9" s="2" t="n">
        <x:f>IF(OR('Proje girdileri'!C9="internal",'Proje girdileri'!AE9+'Proje girdileri'!AF9+'Proje girdileri'!AG9*U9&lt;=0),0,MAX(0,ROUNDDOWN((MIN(T9*'Ayarlar'!$B$7,'Ayarlar'!$B$6*52/12*'Ayarlar'!$B$7-'Proje girdileri'!AD9)-T9*'Proje girdileri'!AK9)/('Proje girdileri'!AE9+'Proje girdileri'!AF9+'Proje girdileri'!AG9*U9),0)))</x:f>
        <x:v>14</x:v>
      </x:c>
      <x:c r="H9" s="24" t="n">
        <x:f>IF(COUNT('Proje girdileri'!Y9:AL9)&lt;&gt;14,"n.a.",('Proje girdileri'!Y9*(1-'Proje girdileri'!AA9-'Proje girdileri'!AB9)-'Proje girdileri'!Z9)*U9)</x:f>
        <x:v>136.7</x:v>
      </x:c>
      <x:c r="I9" s="24" t="n">
        <x:f>IF(ISNUMBER(H9),IF(H9&gt;0,MIN('Proje girdileri'!AL9,G9),0),"n.a.")</x:f>
        <x:v>12</x:v>
      </x:c>
      <x:c r="J9" s="24" t="n">
        <x:f>IF(ISNUMBER(H9),I9*H9-'Proje girdileri'!AI9-'Ayarlar'!$B$6*'Proje girdileri'!AJ9,"n.a.")</x:f>
        <x:v>1480.3999999999999</x:v>
      </x:c>
      <x:c r="K9" s="23" t="n">
        <x:f>IF(ISNUMBER(I9),'Proje girdileri'!AD9+T9*'Proje girdileri'!AK9+I9*('Proje girdileri'!AE9+'Proje girdileri'!AF9+'Proje girdileri'!AG9*U9),"n.a.")</x:f>
        <x:v>115.30000000000001</x:v>
      </x:c>
      <x:c r="L9" s="23" t="n">
        <x:f>IF(ISNUMBER(J9),J9-K9*'Ayarlar'!$B$9,"n.a.")</x:f>
        <x:v>-1402.1000000000006</x:v>
      </x:c>
      <x:c r="M9" s="23" t="n">
        <x:f>IF(AND(ISNUMBER(K9),'Ayarlar'!$B$6&gt;0),K9/('Ayarlar'!$B$6*52/12),"n.a.")</x:f>
        <x:v>4.434615384615385</x:v>
      </x:c>
      <x:c r="N9" s="2" t="str">
        <x:f>IF('Proje girdileri'!AI9&lt;='Ayarlar'!$B$8,"Sığar","Aşar")</x:f>
        <x:v>Sığar</x:v>
      </x:c>
      <x:c r="O9" s="2" t="str">
        <x:f>IF(ISNUMBER(F9),IF(F9&lt;=G9,"Sığar","Aşar"),"n.a.")</x:f>
        <x:v>Aşar</x:v>
      </x:c>
      <x:c r="P9" s="2" t="n">
        <x:f>IF(OR(C9="Kapsam/engel",NOT(ISNUMBER(D9))),"n.a.",COUNTIFS($D$5:$D$50,"&gt;"&amp;D9,$C$5:$C$50,"&lt;&gt;Kapsam/engel")+COUNTIFS($D$5:D9,D9,$C$5:C9,"&lt;&gt;Kapsam/engel"))</x:f>
        <x:v>13</x:v>
      </x:c>
      <x:c r="Q9" s="2" t="n">
        <x:f>IF(OR(C9="Kapsam/engel",NOT(ISNUMBER(E9))),"n.a.",COUNTIFS($E$5:$E$50,"&gt;"&amp;E9,$C$5:$C$50,"&lt;&gt;Kapsam/engel")+COUNTIFS($E$5:E9,E9,$C$5:C9,"&lt;&gt;Kapsam/engel"))</x:f>
        <x:v>15</x:v>
      </x:c>
      <x:c r="R9" s="2" t="str">
        <x:f>IF(AND(C9="Geçti",N9="Sığar",O9="Sığar"),COUNTIFS($D$5:$D$50,"&gt;"&amp;D9,$C$5:$C$50,"Geçti",$N$5:$N$50,"Sığar",$O$5:$O$50,"Sığar")+COUNTIFS($D$5:D9,D9,$C$5:C9,"Geçti",$N$5:N9,"Sığar",$O$5:O9,"Sığar"),"n.a.")</x:f>
        <x:v>n.a.</x:v>
      </x:c>
      <x:c r="S9" s="24" t="n">
        <x:f>IF(ISNUMBER(J9),J9-MAX(0,J9)*'Ayarlar'!$B$10,"n.a.")</x:f>
        <x:v>1480.3999999999999</x:v>
      </x:c>
      <x:c r="T9" s="2" t="n">
        <x:f>IF('Ayarlar'!$B$7&lt;=0,0,MAX(0,'Ayarlar'!$B$6*52/12-MAX('Proje girdileri'!AC9,ROUNDUP('Proje girdileri'!AD9/'Ayarlar'!$B$7,0))))</x:f>
        <x:v>21</x:v>
      </x:c>
      <x:c r="U9" s="2" t="n">
        <x:f>IF(T9=0,0,IF('Proje girdileri'!C9="recurring",IF(MAX(0,'Ayarlar'!$B$6-IF('Ayarlar'!$B$7&lt;=0,99,ROUNDUP(MAX('Proje girdileri'!AC9,ROUNDUP('Proje girdileri'!AD9/'Ayarlar'!$B$7,0))/(52/12),0)))=0,0,(IF(AND(1&gt;IF('Ayarlar'!$B$7&lt;=0,99,ROUNDUP(MAX('Proje girdileri'!AC9,ROUNDUP('Proje girdileri'!AD9/'Ayarlar'!$B$7,0))/(52/12),0)),1&lt;='Ayarlar'!$B$6),IF('Proje girdileri'!AT9=0,MIN('Proje girdileri'!AH9,'Ayarlar'!$B$6-1+1),(1-POWER(1-'Proje girdileri'!AT9,MIN('Proje girdileri'!AH9,'Ayarlar'!$B$6-1+1)))/'Proje girdileri'!AT9),0)+IF(AND(2&gt;IF('Ayarlar'!$B$7&lt;=0,99,ROUNDUP(MAX('Proje girdileri'!AC9,ROUNDUP('Proje girdileri'!AD9/'Ayarlar'!$B$7,0))/(52/12),0)),2&lt;='Ayarlar'!$B$6),IF('Proje girdileri'!AT9=0,MIN('Proje girdileri'!AH9,'Ayarlar'!$B$6-2+1),(1-POWER(1-'Proje girdileri'!AT9,MIN('Proje girdileri'!AH9,'Ayarlar'!$B$6-2+1)))/'Proje girdileri'!AT9),0)+IF(AND(3&gt;IF('Ayarlar'!$B$7&lt;=0,99,ROUNDUP(MAX('Proje girdileri'!AC9,ROUNDUP('Proje girdileri'!AD9/'Ayarlar'!$B$7,0))/(52/12),0)),3&lt;='Ayarlar'!$B$6),IF('Proje girdileri'!AT9=0,MIN('Proje girdileri'!AH9,'Ayarlar'!$B$6-3+1),(1-POWER(1-'Proje girdileri'!AT9,MIN('Proje girdileri'!AH9,'Ayarlar'!$B$6-3+1)))/'Proje girdileri'!AT9),0)+IF(AND(4&gt;IF('Ayarlar'!$B$7&lt;=0,99,ROUNDUP(MAX('Proje girdileri'!AC9,ROUNDUP('Proje girdileri'!AD9/'Ayarlar'!$B$7,0))/(52/12),0)),4&lt;='Ayarlar'!$B$6),IF('Proje girdileri'!AT9=0,MIN('Proje girdileri'!AH9,'Ayarlar'!$B$6-4+1),(1-POWER(1-'Proje girdileri'!AT9,MIN('Proje girdileri'!AH9,'Ayarlar'!$B$6-4+1)))/'Proje girdileri'!AT9),0)+IF(AND(5&gt;IF('Ayarlar'!$B$7&lt;=0,99,ROUNDUP(MAX('Proje girdileri'!AC9,ROUNDUP('Proje girdileri'!AD9/'Ayarlar'!$B$7,0))/(52/12),0)),5&lt;='Ayarlar'!$B$6),IF('Proje girdileri'!AT9=0,MIN('Proje girdileri'!AH9,'Ayarlar'!$B$6-5+1),(1-POWER(1-'Proje girdileri'!AT9,MIN('Proje girdileri'!AH9,'Ayarlar'!$B$6-5+1)))/'Proje girdileri'!AT9),0)+IF(AND(6&gt;IF('Ayarlar'!$B$7&lt;=0,99,ROUNDUP(MAX('Proje girdileri'!AC9,ROUNDUP('Proje girdileri'!AD9/'Ayarlar'!$B$7,0))/(52/12),0)),6&lt;='Ayarlar'!$B$6),IF('Proje girdileri'!AT9=0,MIN('Proje girdileri'!AH9,'Ayarlar'!$B$6-6+1),(1-POWER(1-'Proje girdileri'!AT9,MIN('Proje girdileri'!AH9,'Ayarlar'!$B$6-6+1)))/'Proje girdileri'!AT9),0)+IF(AND(7&gt;IF('Ayarlar'!$B$7&lt;=0,99,ROUNDUP(MAX('Proje girdileri'!AC9,ROUNDUP('Proje girdileri'!AD9/'Ayarlar'!$B$7,0))/(52/12),0)),7&lt;='Ayarlar'!$B$6),IF('Proje girdileri'!AT9=0,MIN('Proje girdileri'!AH9,'Ayarlar'!$B$6-7+1),(1-POWER(1-'Proje girdileri'!AT9,MIN('Proje girdileri'!AH9,'Ayarlar'!$B$6-7+1)))/'Proje girdileri'!AT9),0)+IF(AND(8&gt;IF('Ayarlar'!$B$7&lt;=0,99,ROUNDUP(MAX('Proje girdileri'!AC9,ROUNDUP('Proje girdileri'!AD9/'Ayarlar'!$B$7,0))/(52/12),0)),8&lt;='Ayarlar'!$B$6),IF('Proje girdileri'!AT9=0,MIN('Proje girdileri'!AH9,'Ayarlar'!$B$6-8+1),(1-POWER(1-'Proje girdileri'!AT9,MIN('Proje girdileri'!AH9,'Ayarlar'!$B$6-8+1)))/'Proje girdileri'!AT9),0)+IF(AND(9&gt;IF('Ayarlar'!$B$7&lt;=0,99,ROUNDUP(MAX('Proje girdileri'!AC9,ROUNDUP('Proje girdileri'!AD9/'Ayarlar'!$B$7,0))/(52/12),0)),9&lt;='Ayarlar'!$B$6),IF('Proje girdileri'!AT9=0,MIN('Proje girdileri'!AH9,'Ayarlar'!$B$6-9+1),(1-POWER(1-'Proje girdileri'!AT9,MIN('Proje girdileri'!AH9,'Ayarlar'!$B$6-9+1)))/'Proje girdileri'!AT9),0)+IF(AND(10&gt;IF('Ayarlar'!$B$7&lt;=0,99,ROUNDUP(MAX('Proje girdileri'!AC9,ROUNDUP('Proje girdileri'!AD9/'Ayarlar'!$B$7,0))/(52/12),0)),10&lt;='Ayarlar'!$B$6),IF('Proje girdileri'!AT9=0,MIN('Proje girdileri'!AH9,'Ayarlar'!$B$6-10+1),(1-POWER(1-'Proje girdileri'!AT9,MIN('Proje girdileri'!AH9,'Ayarlar'!$B$6-10+1)))/'Proje girdileri'!AT9),0)+IF(AND(11&gt;IF('Ayarlar'!$B$7&lt;=0,99,ROUNDUP(MAX('Proje girdileri'!AC9,ROUNDUP('Proje girdileri'!AD9/'Ayarlar'!$B$7,0))/(52/12),0)),11&lt;='Ayarlar'!$B$6),IF('Proje girdileri'!AT9=0,MIN('Proje girdileri'!AH9,'Ayarlar'!$B$6-11+1),(1-POWER(1-'Proje girdileri'!AT9,MIN('Proje girdileri'!AH9,'Ayarlar'!$B$6-11+1)))/'Proje girdileri'!AT9),0)+IF(AND(12&gt;IF('Ayarlar'!$B$7&lt;=0,99,ROUNDUP(MAX('Proje girdileri'!AC9,ROUNDUP('Proje girdileri'!AD9/'Ayarlar'!$B$7,0))/(52/12),0)),12&lt;='Ayarlar'!$B$6),IF('Proje girdileri'!AT9=0,MIN('Proje girdileri'!AH9,'Ayarlar'!$B$6-12+1),(1-POWER(1-'Proje girdileri'!AT9,MIN('Proje girdileri'!AH9,'Ayarlar'!$B$6-12+1)))/'Proje girdileri'!AT9),0))/MAX(0,'Ayarlar'!$B$6-IF('Ayarlar'!$B$7&lt;=0,99,ROUNDUP(MAX('Proje girdileri'!AC9,ROUNDUP('Proje girdileri'!AD9/'Ayarlar'!$B$7,0))/(52/12),0)))),1))</x:f>
        <x:v>1</x:v>
      </x:c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24" customHeight="1">
      <x:c r="A10" s="2" t="str">
        <x:f>'Proje girdileri'!A10</x:f>
        <x:v>Aile-06</x:v>
      </x:c>
      <x:c r="B10" s="2" t="str">
        <x:f>'Proje girdileri'!B10</x:f>
        <x:v>Üretici dijital başlangıç</x:v>
      </x:c>
      <x:c r="C10" s="2" t="str">
        <x:f>IF(OR(COUNT('Proje girdileri'!D10:H10)&lt;&gt;5,MIN('Proje girdileri'!D10:H10)&lt;0,MAX('Proje girdileri'!D10:H10)&gt;2),"Yalnız deney",IF(MIN('Proje girdileri'!D10:H10)=0,"Kapsam/engel",IF(MIN('Proje girdileri'!D10:H10)=1,"Yalnız deney","Geçti")))</x:f>
        <x:v>Yalnız deney</x:v>
      </x:c>
      <x:c r="D10" s="23" t="n">
        <x:f>IF(AND(COUNT('Proje girdileri'!I10:X10)=16,MIN('Proje girdileri'!I10:X10)&gt;=0,MAX('Proje girdileri'!I10:X10)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girdileri'!I10:X10,'Proje girdileri'!$I$2:$X$2)/5*100,"n.a.")</x:f>
        <x:v>47.400000000000006</x:v>
      </x:c>
      <x:c r="E10" s="23" t="n">
        <x:f>IF(AND(COUNT('Proje girdileri'!I10:X10)=16,MIN('Proje girdileri'!I10:X10)&gt;=0,MAX('Proje girdileri'!I10:X10)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girdileri'!I10:X10,'Proje girdileri'!$I$3:$X$3)/5*100,"n.a.")</x:f>
        <x:v>45.400000000000006</x:v>
      </x:c>
      <x:c r="F10" s="2" t="n">
        <x:f>IF(OR(COUNT('Ayarlar'!$B$5:$B$9)&lt;&gt;5,MIN('Ayarlar'!$B$5:$B$7)&lt;=0,MIN('Ayarlar'!$B$8:$B$9)&lt;0,NOT(ISNUMBER(H10)),H10&lt;=0),"n.a.",ROUNDUP(('Ayarlar'!$B$5+'Proje girdileri'!AI10+'Ayarlar'!$B$6*'Proje girdileri'!AJ10)/H10,0))</x:f>
        <x:v>5</x:v>
      </x:c>
      <x:c r="G10" s="2" t="n">
        <x:f>IF(OR('Proje girdileri'!C10="internal",'Proje girdileri'!AE10+'Proje girdileri'!AF10+'Proje girdileri'!AG10*U10&lt;=0),0,MAX(0,ROUNDDOWN((MIN(T10*'Ayarlar'!$B$7,'Ayarlar'!$B$6*52/12*'Ayarlar'!$B$7-'Proje girdileri'!AD10)-T10*'Proje girdileri'!AK10)/('Proje girdileri'!AE10+'Proje girdileri'!AF10+'Proje girdileri'!AG10*U10),0)))</x:f>
        <x:v>6</x:v>
      </x:c>
      <x:c r="H10" s="24" t="n">
        <x:f>IF(COUNT('Proje girdileri'!Y10:AL10)&lt;&gt;14,"n.a.",('Proje girdileri'!Y10*(1-'Proje girdileri'!AA10-'Proje girdileri'!AB10)-'Proje girdileri'!Z10)*U10)</x:f>
        <x:v>652</x:v>
      </x:c>
      <x:c r="I10" s="24" t="n">
        <x:f>IF(ISNUMBER(H10),IF(H10&gt;0,MIN('Proje girdileri'!AL10,G10),0),"n.a.")</x:f>
        <x:v>3</x:v>
      </x:c>
      <x:c r="J10" s="24" t="n">
        <x:f>IF(ISNUMBER(H10),I10*H10-'Proje girdileri'!AI10-'Ayarlar'!$B$6*'Proje girdileri'!AJ10,"n.a.")</x:f>
        <x:v>1716</x:v>
      </x:c>
      <x:c r="K10" s="23" t="n">
        <x:f>IF(ISNUMBER(I10),'Proje girdileri'!AD10+T10*'Proje girdileri'!AK10+I10*('Proje girdileri'!AE10+'Proje girdileri'!AF10+'Proje girdileri'!AG10*U10),"n.a.")</x:f>
        <x:v>77.5</x:v>
      </x:c>
      <x:c r="L10" s="23" t="n">
        <x:f>IF(ISNUMBER(J10),J10-K10*'Ayarlar'!$B$9,"n.a.")</x:f>
        <x:v>-221.5</x:v>
      </x:c>
      <x:c r="M10" s="23" t="n">
        <x:f>IF(AND(ISNUMBER(K10),'Ayarlar'!$B$6&gt;0),K10/('Ayarlar'!$B$6*52/12),"n.a.")</x:f>
        <x:v>2.980769230769231</x:v>
      </x:c>
      <x:c r="N10" s="2" t="str">
        <x:f>IF('Proje girdileri'!AI10&lt;='Ayarlar'!$B$8,"Sığar","Aşar")</x:f>
        <x:v>Sığar</x:v>
      </x:c>
      <x:c r="O10" s="2" t="str">
        <x:f>IF(ISNUMBER(F10),IF(F10&lt;=G10,"Sığar","Aşar"),"n.a.")</x:f>
        <x:v>Sığar</x:v>
      </x:c>
      <x:c r="P10" s="2" t="n">
        <x:f>IF(OR(C10="Kapsam/engel",NOT(ISNUMBER(D10))),"n.a.",COUNTIFS($D$5:$D$50,"&gt;"&amp;D10,$C$5:$C$50,"&lt;&gt;Kapsam/engel")+COUNTIFS($D$5:D10,D10,$C$5:C10,"&lt;&gt;Kapsam/engel"))</x:f>
        <x:v>22</x:v>
      </x:c>
      <x:c r="Q10" s="2" t="n">
        <x:f>IF(OR(C10="Kapsam/engel",NOT(ISNUMBER(E10))),"n.a.",COUNTIFS($E$5:$E$50,"&gt;"&amp;E10,$C$5:$C$50,"&lt;&gt;Kapsam/engel")+COUNTIFS($E$5:E10,E10,$C$5:C10,"&lt;&gt;Kapsam/engel"))</x:f>
        <x:v>25</x:v>
      </x:c>
      <x:c r="R10" s="2" t="str">
        <x:f>IF(AND(C10="Geçti",N10="Sığar",O10="Sığar"),COUNTIFS($D$5:$D$50,"&gt;"&amp;D10,$C$5:$C$50,"Geçti",$N$5:$N$50,"Sığar",$O$5:$O$50,"Sığar")+COUNTIFS($D$5:D10,D10,$C$5:C10,"Geçti",$N$5:N10,"Sığar",$O$5:O10,"Sığar"),"n.a.")</x:f>
        <x:v>n.a.</x:v>
      </x:c>
      <x:c r="S10" s="24" t="n">
        <x:f>IF(ISNUMBER(J10),J10-MAX(0,J10)*'Ayarlar'!$B$10,"n.a.")</x:f>
        <x:v>1716</x:v>
      </x:c>
      <x:c r="T10" s="2" t="n">
        <x:f>IF('Ayarlar'!$B$7&lt;=0,0,MAX(0,'Ayarlar'!$B$6*52/12-MAX('Proje girdileri'!AC10,ROUNDUP('Proje girdileri'!AD10/'Ayarlar'!$B$7,0))))</x:f>
        <x:v>22</x:v>
      </x:c>
      <x:c r="U10" s="2" t="n">
        <x:f>IF(T10=0,0,IF('Proje girdileri'!C10="recurring",IF(MAX(0,'Ayarlar'!$B$6-IF('Ayarlar'!$B$7&lt;=0,99,ROUNDUP(MAX('Proje girdileri'!AC10,ROUNDUP('Proje girdileri'!AD10/'Ayarlar'!$B$7,0))/(52/12),0)))=0,0,(IF(AND(1&gt;IF('Ayarlar'!$B$7&lt;=0,99,ROUNDUP(MAX('Proje girdileri'!AC10,ROUNDUP('Proje girdileri'!AD10/'Ayarlar'!$B$7,0))/(52/12),0)),1&lt;='Ayarlar'!$B$6),IF('Proje girdileri'!AT10=0,MIN('Proje girdileri'!AH10,'Ayarlar'!$B$6-1+1),(1-POWER(1-'Proje girdileri'!AT10,MIN('Proje girdileri'!AH10,'Ayarlar'!$B$6-1+1)))/'Proje girdileri'!AT10),0)+IF(AND(2&gt;IF('Ayarlar'!$B$7&lt;=0,99,ROUNDUP(MAX('Proje girdileri'!AC10,ROUNDUP('Proje girdileri'!AD10/'Ayarlar'!$B$7,0))/(52/12),0)),2&lt;='Ayarlar'!$B$6),IF('Proje girdileri'!AT10=0,MIN('Proje girdileri'!AH10,'Ayarlar'!$B$6-2+1),(1-POWER(1-'Proje girdileri'!AT10,MIN('Proje girdileri'!AH10,'Ayarlar'!$B$6-2+1)))/'Proje girdileri'!AT10),0)+IF(AND(3&gt;IF('Ayarlar'!$B$7&lt;=0,99,ROUNDUP(MAX('Proje girdileri'!AC10,ROUNDUP('Proje girdileri'!AD10/'Ayarlar'!$B$7,0))/(52/12),0)),3&lt;='Ayarlar'!$B$6),IF('Proje girdileri'!AT10=0,MIN('Proje girdileri'!AH10,'Ayarlar'!$B$6-3+1),(1-POWER(1-'Proje girdileri'!AT10,MIN('Proje girdileri'!AH10,'Ayarlar'!$B$6-3+1)))/'Proje girdileri'!AT10),0)+IF(AND(4&gt;IF('Ayarlar'!$B$7&lt;=0,99,ROUNDUP(MAX('Proje girdileri'!AC10,ROUNDUP('Proje girdileri'!AD10/'Ayarlar'!$B$7,0))/(52/12),0)),4&lt;='Ayarlar'!$B$6),IF('Proje girdileri'!AT10=0,MIN('Proje girdileri'!AH10,'Ayarlar'!$B$6-4+1),(1-POWER(1-'Proje girdileri'!AT10,MIN('Proje girdileri'!AH10,'Ayarlar'!$B$6-4+1)))/'Proje girdileri'!AT10),0)+IF(AND(5&gt;IF('Ayarlar'!$B$7&lt;=0,99,ROUNDUP(MAX('Proje girdileri'!AC10,ROUNDUP('Proje girdileri'!AD10/'Ayarlar'!$B$7,0))/(52/12),0)),5&lt;='Ayarlar'!$B$6),IF('Proje girdileri'!AT10=0,MIN('Proje girdileri'!AH10,'Ayarlar'!$B$6-5+1),(1-POWER(1-'Proje girdileri'!AT10,MIN('Proje girdileri'!AH10,'Ayarlar'!$B$6-5+1)))/'Proje girdileri'!AT10),0)+IF(AND(6&gt;IF('Ayarlar'!$B$7&lt;=0,99,ROUNDUP(MAX('Proje girdileri'!AC10,ROUNDUP('Proje girdileri'!AD10/'Ayarlar'!$B$7,0))/(52/12),0)),6&lt;='Ayarlar'!$B$6),IF('Proje girdileri'!AT10=0,MIN('Proje girdileri'!AH10,'Ayarlar'!$B$6-6+1),(1-POWER(1-'Proje girdileri'!AT10,MIN('Proje girdileri'!AH10,'Ayarlar'!$B$6-6+1)))/'Proje girdileri'!AT10),0)+IF(AND(7&gt;IF('Ayarlar'!$B$7&lt;=0,99,ROUNDUP(MAX('Proje girdileri'!AC10,ROUNDUP('Proje girdileri'!AD10/'Ayarlar'!$B$7,0))/(52/12),0)),7&lt;='Ayarlar'!$B$6),IF('Proje girdileri'!AT10=0,MIN('Proje girdileri'!AH10,'Ayarlar'!$B$6-7+1),(1-POWER(1-'Proje girdileri'!AT10,MIN('Proje girdileri'!AH10,'Ayarlar'!$B$6-7+1)))/'Proje girdileri'!AT10),0)+IF(AND(8&gt;IF('Ayarlar'!$B$7&lt;=0,99,ROUNDUP(MAX('Proje girdileri'!AC10,ROUNDUP('Proje girdileri'!AD10/'Ayarlar'!$B$7,0))/(52/12),0)),8&lt;='Ayarlar'!$B$6),IF('Proje girdileri'!AT10=0,MIN('Proje girdileri'!AH10,'Ayarlar'!$B$6-8+1),(1-POWER(1-'Proje girdileri'!AT10,MIN('Proje girdileri'!AH10,'Ayarlar'!$B$6-8+1)))/'Proje girdileri'!AT10),0)+IF(AND(9&gt;IF('Ayarlar'!$B$7&lt;=0,99,ROUNDUP(MAX('Proje girdileri'!AC10,ROUNDUP('Proje girdileri'!AD10/'Ayarlar'!$B$7,0))/(52/12),0)),9&lt;='Ayarlar'!$B$6),IF('Proje girdileri'!AT10=0,MIN('Proje girdileri'!AH10,'Ayarlar'!$B$6-9+1),(1-POWER(1-'Proje girdileri'!AT10,MIN('Proje girdileri'!AH10,'Ayarlar'!$B$6-9+1)))/'Proje girdileri'!AT10),0)+IF(AND(10&gt;IF('Ayarlar'!$B$7&lt;=0,99,ROUNDUP(MAX('Proje girdileri'!AC10,ROUNDUP('Proje girdileri'!AD10/'Ayarlar'!$B$7,0))/(52/12),0)),10&lt;='Ayarlar'!$B$6),IF('Proje girdileri'!AT10=0,MIN('Proje girdileri'!AH10,'Ayarlar'!$B$6-10+1),(1-POWER(1-'Proje girdileri'!AT10,MIN('Proje girdileri'!AH10,'Ayarlar'!$B$6-10+1)))/'Proje girdileri'!AT10),0)+IF(AND(11&gt;IF('Ayarlar'!$B$7&lt;=0,99,ROUNDUP(MAX('Proje girdileri'!AC10,ROUNDUP('Proje girdileri'!AD10/'Ayarlar'!$B$7,0))/(52/12),0)),11&lt;='Ayarlar'!$B$6),IF('Proje girdileri'!AT10=0,MIN('Proje girdileri'!AH10,'Ayarlar'!$B$6-11+1),(1-POWER(1-'Proje girdileri'!AT10,MIN('Proje girdileri'!AH10,'Ayarlar'!$B$6-11+1)))/'Proje girdileri'!AT10),0)+IF(AND(12&gt;IF('Ayarlar'!$B$7&lt;=0,99,ROUNDUP(MAX('Proje girdileri'!AC10,ROUNDUP('Proje girdileri'!AD10/'Ayarlar'!$B$7,0))/(52/12),0)),12&lt;='Ayarlar'!$B$6),IF('Proje girdileri'!AT10=0,MIN('Proje girdileri'!AH10,'Ayarlar'!$B$6-12+1),(1-POWER(1-'Proje girdileri'!AT10,MIN('Proje girdileri'!AH10,'Ayarlar'!$B$6-12+1)))/'Proje girdileri'!AT10),0))/MAX(0,'Ayarlar'!$B$6-IF('Ayarlar'!$B$7&lt;=0,99,ROUNDUP(MAX('Proje girdileri'!AC10,ROUNDUP('Proje girdileri'!AD10/'Ayarlar'!$B$7,0))/(52/12),0)))),1))</x:f>
        <x:v>1</x:v>
      </x:c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24" customHeight="1">
      <x:c r="A11" s="2" t="str">
        <x:f>'Proje girdileri'!A11</x:f>
        <x:v>Aile-07</x:v>
      </x:c>
      <x:c r="B11" s="2" t="str">
        <x:f>'Proje girdileri'!B11</x:f>
        <x:v>AtonotA AgencyOps</x:v>
      </x:c>
      <x:c r="C11" s="2" t="str">
        <x:f>IF(OR(COUNT('Proje girdileri'!D11:H11)&lt;&gt;5,MIN('Proje girdileri'!D11:H11)&lt;0,MAX('Proje girdileri'!D11:H11)&gt;2),"Yalnız deney",IF(MIN('Proje girdileri'!D11:H11)=0,"Kapsam/engel",IF(MIN('Proje girdileri'!D11:H11)=1,"Yalnız deney","Geçti")))</x:f>
        <x:v>Yalnız deney</x:v>
      </x:c>
      <x:c r="D11" s="23" t="n">
        <x:f>IF(AND(COUNT('Proje girdileri'!I11:X11)=16,MIN('Proje girdileri'!I11:X11)&gt;=0,MAX('Proje girdileri'!I11:X11)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girdileri'!I11:X11,'Proje girdileri'!$I$2:$X$2)/5*100,"n.a.")</x:f>
        <x:v>48.40000000000001</x:v>
      </x:c>
      <x:c r="E11" s="23" t="n">
        <x:f>IF(AND(COUNT('Proje girdileri'!I11:X11)=16,MIN('Proje girdileri'!I11:X11)&gt;=0,MAX('Proje girdileri'!I11:X11)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girdileri'!I11:X11,'Proje girdileri'!$I$3:$X$3)/5*100,"n.a.")</x:f>
        <x:v>46.70000000000001</x:v>
      </x:c>
      <x:c r="F11" s="2" t="n">
        <x:f>IF(OR(COUNT('Ayarlar'!$B$5:$B$9)&lt;&gt;5,MIN('Ayarlar'!$B$5:$B$7)&lt;=0,MIN('Ayarlar'!$B$8:$B$9)&lt;0,NOT(ISNUMBER(H11)),H11&lt;=0),"n.a.",ROUNDUP(('Ayarlar'!$B$5+'Proje girdileri'!AI11+'Ayarlar'!$B$6*'Proje girdileri'!AJ11)/H11,0))</x:f>
        <x:v>49</x:v>
      </x:c>
      <x:c r="G11" s="2" t="n">
        <x:f>IF(OR('Proje girdileri'!C11="internal",'Proje girdileri'!AE11+'Proje girdileri'!AF11+'Proje girdileri'!AG11*U11&lt;=0),0,MAX(0,ROUNDDOWN((MIN(T11*'Ayarlar'!$B$7,'Ayarlar'!$B$6*52/12*'Ayarlar'!$B$7-'Proje girdileri'!AD11)-T11*'Proje girdileri'!AK11)/('Proje girdileri'!AE11+'Proje girdileri'!AF11+'Proje girdileri'!AG11*U11),0)))</x:f>
        <x:v>12</x:v>
      </x:c>
      <x:c r="H11" s="24" t="n">
        <x:f>IF(COUNT('Proje girdileri'!Y11:AL11)&lt;&gt;14,"n.a.",('Proje girdileri'!Y11*(1-'Proje girdileri'!AA11-'Proje girdileri'!AB11)-'Proje girdileri'!Z11)*U11)</x:f>
        <x:v>69.13325000000003</x:v>
      </x:c>
      <x:c r="I11" s="24" t="n">
        <x:f>IF(ISNUMBER(H11),IF(H11&gt;0,MIN('Proje girdileri'!AL11,G11),0),"n.a.")</x:f>
        <x:v>8</x:v>
      </x:c>
      <x:c r="J11" s="24" t="n">
        <x:f>IF(ISNUMBER(H11),I11*H11-'Proje girdileri'!AI11-'Ayarlar'!$B$6*'Proje girdileri'!AJ11,"n.a.")</x:f>
        <x:v>183.06600000000026</x:v>
      </x:c>
      <x:c r="K11" s="23" t="n">
        <x:f>IF(ISNUMBER(I11),'Proje girdileri'!AD11+T11*'Proje girdileri'!AK11+I11*('Proje girdileri'!AE11+'Proje girdileri'!AF11+'Proje girdileri'!AG11*U11),"n.a.")</x:f>
        <x:v>114.33000000000001</x:v>
      </x:c>
      <x:c r="L11" s="23" t="n">
        <x:f>IF(ISNUMBER(J11),J11-K11*'Ayarlar'!$B$9,"n.a.")</x:f>
        <x:v>-2675.184</x:v>
      </x:c>
      <x:c r="M11" s="23" t="n">
        <x:f>IF(AND(ISNUMBER(K11),'Ayarlar'!$B$6&gt;0),K11/('Ayarlar'!$B$6*52/12),"n.a.")</x:f>
        <x:v>4.397307692307693</x:v>
      </x:c>
      <x:c r="N11" s="2" t="str">
        <x:f>IF('Proje girdileri'!AI11&lt;='Ayarlar'!$B$8,"Sığar","Aşar")</x:f>
        <x:v>Sığar</x:v>
      </x:c>
      <x:c r="O11" s="2" t="str">
        <x:f>IF(ISNUMBER(F11),IF(F11&lt;=G11,"Sığar","Aşar"),"n.a.")</x:f>
        <x:v>Aşar</x:v>
      </x:c>
      <x:c r="P11" s="2" t="n">
        <x:f>IF(OR(C11="Kapsam/engel",NOT(ISNUMBER(D11))),"n.a.",COUNTIFS($D$5:$D$50,"&gt;"&amp;D11,$C$5:$C$50,"&lt;&gt;Kapsam/engel")+COUNTIFS($D$5:D11,D11,$C$5:C11,"&lt;&gt;Kapsam/engel"))</x:f>
        <x:v>20</x:v>
      </x:c>
      <x:c r="Q11" s="2" t="n">
        <x:f>IF(OR(C11="Kapsam/engel",NOT(ISNUMBER(E11))),"n.a.",COUNTIFS($E$5:$E$50,"&gt;"&amp;E11,$C$5:$C$50,"&lt;&gt;Kapsam/engel")+COUNTIFS($E$5:E11,E11,$C$5:C11,"&lt;&gt;Kapsam/engel"))</x:f>
        <x:v>21</x:v>
      </x:c>
      <x:c r="R11" s="2" t="str">
        <x:f>IF(AND(C11="Geçti",N11="Sığar",O11="Sığar"),COUNTIFS($D$5:$D$50,"&gt;"&amp;D11,$C$5:$C$50,"Geçti",$N$5:$N$50,"Sığar",$O$5:$O$50,"Sığar")+COUNTIFS($D$5:D11,D11,$C$5:C11,"Geçti",$N$5:N11,"Sığar",$O$5:O11,"Sığar"),"n.a.")</x:f>
        <x:v>n.a.</x:v>
      </x:c>
      <x:c r="S11" s="24" t="n">
        <x:f>IF(ISNUMBER(J11),J11-MAX(0,J11)*'Ayarlar'!$B$10,"n.a.")</x:f>
        <x:v>183.06600000000026</x:v>
      </x:c>
      <x:c r="T11" s="2" t="n">
        <x:f>IF('Ayarlar'!$B$7&lt;=0,0,MAX(0,'Ayarlar'!$B$6*52/12-MAX('Proje girdileri'!AC11,ROUNDUP('Proje girdileri'!AD11/'Ayarlar'!$B$7,0))))</x:f>
        <x:v>11</x:v>
      </x:c>
      <x:c r="U11" s="2" t="n">
        <x:f>IF(T11=0,0,IF('Proje girdileri'!C11="recurring",IF(MAX(0,'Ayarlar'!$B$6-IF('Ayarlar'!$B$7&lt;=0,99,ROUNDUP(MAX('Proje girdileri'!AC11,ROUNDUP('Proje girdileri'!AD11/'Ayarlar'!$B$7,0))/(52/12),0)))=0,0,(IF(AND(1&gt;IF('Ayarlar'!$B$7&lt;=0,99,ROUNDUP(MAX('Proje girdileri'!AC11,ROUNDUP('Proje girdileri'!AD11/'Ayarlar'!$B$7,0))/(52/12),0)),1&lt;='Ayarlar'!$B$6),IF('Proje girdileri'!AT11=0,MIN('Proje girdileri'!AH11,'Ayarlar'!$B$6-1+1),(1-POWER(1-'Proje girdileri'!AT11,MIN('Proje girdileri'!AH11,'Ayarlar'!$B$6-1+1)))/'Proje girdileri'!AT11),0)+IF(AND(2&gt;IF('Ayarlar'!$B$7&lt;=0,99,ROUNDUP(MAX('Proje girdileri'!AC11,ROUNDUP('Proje girdileri'!AD11/'Ayarlar'!$B$7,0))/(52/12),0)),2&lt;='Ayarlar'!$B$6),IF('Proje girdileri'!AT11=0,MIN('Proje girdileri'!AH11,'Ayarlar'!$B$6-2+1),(1-POWER(1-'Proje girdileri'!AT11,MIN('Proje girdileri'!AH11,'Ayarlar'!$B$6-2+1)))/'Proje girdileri'!AT11),0)+IF(AND(3&gt;IF('Ayarlar'!$B$7&lt;=0,99,ROUNDUP(MAX('Proje girdileri'!AC11,ROUNDUP('Proje girdileri'!AD11/'Ayarlar'!$B$7,0))/(52/12),0)),3&lt;='Ayarlar'!$B$6),IF('Proje girdileri'!AT11=0,MIN('Proje girdileri'!AH11,'Ayarlar'!$B$6-3+1),(1-POWER(1-'Proje girdileri'!AT11,MIN('Proje girdileri'!AH11,'Ayarlar'!$B$6-3+1)))/'Proje girdileri'!AT11),0)+IF(AND(4&gt;IF('Ayarlar'!$B$7&lt;=0,99,ROUNDUP(MAX('Proje girdileri'!AC11,ROUNDUP('Proje girdileri'!AD11/'Ayarlar'!$B$7,0))/(52/12),0)),4&lt;='Ayarlar'!$B$6),IF('Proje girdileri'!AT11=0,MIN('Proje girdileri'!AH11,'Ayarlar'!$B$6-4+1),(1-POWER(1-'Proje girdileri'!AT11,MIN('Proje girdileri'!AH11,'Ayarlar'!$B$6-4+1)))/'Proje girdileri'!AT11),0)+IF(AND(5&gt;IF('Ayarlar'!$B$7&lt;=0,99,ROUNDUP(MAX('Proje girdileri'!AC11,ROUNDUP('Proje girdileri'!AD11/'Ayarlar'!$B$7,0))/(52/12),0)),5&lt;='Ayarlar'!$B$6),IF('Proje girdileri'!AT11=0,MIN('Proje girdileri'!AH11,'Ayarlar'!$B$6-5+1),(1-POWER(1-'Proje girdileri'!AT11,MIN('Proje girdileri'!AH11,'Ayarlar'!$B$6-5+1)))/'Proje girdileri'!AT11),0)+IF(AND(6&gt;IF('Ayarlar'!$B$7&lt;=0,99,ROUNDUP(MAX('Proje girdileri'!AC11,ROUNDUP('Proje girdileri'!AD11/'Ayarlar'!$B$7,0))/(52/12),0)),6&lt;='Ayarlar'!$B$6),IF('Proje girdileri'!AT11=0,MIN('Proje girdileri'!AH11,'Ayarlar'!$B$6-6+1),(1-POWER(1-'Proje girdileri'!AT11,MIN('Proje girdileri'!AH11,'Ayarlar'!$B$6-6+1)))/'Proje girdileri'!AT11),0)+IF(AND(7&gt;IF('Ayarlar'!$B$7&lt;=0,99,ROUNDUP(MAX('Proje girdileri'!AC11,ROUNDUP('Proje girdileri'!AD11/'Ayarlar'!$B$7,0))/(52/12),0)),7&lt;='Ayarlar'!$B$6),IF('Proje girdileri'!AT11=0,MIN('Proje girdileri'!AH11,'Ayarlar'!$B$6-7+1),(1-POWER(1-'Proje girdileri'!AT11,MIN('Proje girdileri'!AH11,'Ayarlar'!$B$6-7+1)))/'Proje girdileri'!AT11),0)+IF(AND(8&gt;IF('Ayarlar'!$B$7&lt;=0,99,ROUNDUP(MAX('Proje girdileri'!AC11,ROUNDUP('Proje girdileri'!AD11/'Ayarlar'!$B$7,0))/(52/12),0)),8&lt;='Ayarlar'!$B$6),IF('Proje girdileri'!AT11=0,MIN('Proje girdileri'!AH11,'Ayarlar'!$B$6-8+1),(1-POWER(1-'Proje girdileri'!AT11,MIN('Proje girdileri'!AH11,'Ayarlar'!$B$6-8+1)))/'Proje girdileri'!AT11),0)+IF(AND(9&gt;IF('Ayarlar'!$B$7&lt;=0,99,ROUNDUP(MAX('Proje girdileri'!AC11,ROUNDUP('Proje girdileri'!AD11/'Ayarlar'!$B$7,0))/(52/12),0)),9&lt;='Ayarlar'!$B$6),IF('Proje girdileri'!AT11=0,MIN('Proje girdileri'!AH11,'Ayarlar'!$B$6-9+1),(1-POWER(1-'Proje girdileri'!AT11,MIN('Proje girdileri'!AH11,'Ayarlar'!$B$6-9+1)))/'Proje girdileri'!AT11),0)+IF(AND(10&gt;IF('Ayarlar'!$B$7&lt;=0,99,ROUNDUP(MAX('Proje girdileri'!AC11,ROUNDUP('Proje girdileri'!AD11/'Ayarlar'!$B$7,0))/(52/12),0)),10&lt;='Ayarlar'!$B$6),IF('Proje girdileri'!AT11=0,MIN('Proje girdileri'!AH11,'Ayarlar'!$B$6-10+1),(1-POWER(1-'Proje girdileri'!AT11,MIN('Proje girdileri'!AH11,'Ayarlar'!$B$6-10+1)))/'Proje girdileri'!AT11),0)+IF(AND(11&gt;IF('Ayarlar'!$B$7&lt;=0,99,ROUNDUP(MAX('Proje girdileri'!AC11,ROUNDUP('Proje girdileri'!AD11/'Ayarlar'!$B$7,0))/(52/12),0)),11&lt;='Ayarlar'!$B$6),IF('Proje girdileri'!AT11=0,MIN('Proje girdileri'!AH11,'Ayarlar'!$B$6-11+1),(1-POWER(1-'Proje girdileri'!AT11,MIN('Proje girdileri'!AH11,'Ayarlar'!$B$6-11+1)))/'Proje girdileri'!AT11),0)+IF(AND(12&gt;IF('Ayarlar'!$B$7&lt;=0,99,ROUNDUP(MAX('Proje girdileri'!AC11,ROUNDUP('Proje girdileri'!AD11/'Ayarlar'!$B$7,0))/(52/12),0)),12&lt;='Ayarlar'!$B$6),IF('Proje girdileri'!AT11=0,MIN('Proje girdileri'!AH11,'Ayarlar'!$B$6-12+1),(1-POWER(1-'Proje girdileri'!AT11,MIN('Proje girdileri'!AH11,'Ayarlar'!$B$6-12+1)))/'Proje girdileri'!AT11),0))/MAX(0,'Ayarlar'!$B$6-IF('Ayarlar'!$B$7&lt;=0,99,ROUNDUP(MAX('Proje girdileri'!AC11,ROUNDUP('Proje girdileri'!AD11/'Ayarlar'!$B$7,0))/(52/12),0)))),1))</x:f>
        <x:v>1.4750000000000008</x:v>
      </x:c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24" customHeight="1">
      <x:c r="A12" s="2" t="str">
        <x:f>'Proje girdileri'!A12</x:f>
        <x:v>Aile-08</x:v>
      </x:c>
      <x:c r="B12" s="2" t="str">
        <x:f>'Proje girdileri'!B12</x:f>
        <x:v>Ürün/animasyon blokları</x:v>
      </x:c>
      <x:c r="C12" s="2" t="str">
        <x:f>IF(OR(COUNT('Proje girdileri'!D12:H12)&lt;&gt;5,MIN('Proje girdileri'!D12:H12)&lt;0,MAX('Proje girdileri'!D12:H12)&gt;2),"Yalnız deney",IF(MIN('Proje girdileri'!D12:H12)=0,"Kapsam/engel",IF(MIN('Proje girdileri'!D12:H12)=1,"Yalnız deney","Geçti")))</x:f>
        <x:v>Yalnız deney</x:v>
      </x:c>
      <x:c r="D12" s="23" t="n">
        <x:f>IF(AND(COUNT('Proje girdileri'!I12:X12)=16,MIN('Proje girdileri'!I12:X12)&gt;=0,MAX('Proje girdileri'!I12:X12)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girdileri'!I12:X12,'Proje girdileri'!$I$2:$X$2)/5*100,"n.a.")</x:f>
        <x:v>44.800000000000004</x:v>
      </x:c>
      <x:c r="E12" s="23" t="n">
        <x:f>IF(AND(COUNT('Proje girdileri'!I12:X12)=16,MIN('Proje girdileri'!I12:X12)&gt;=0,MAX('Proje girdileri'!I12:X12)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girdileri'!I12:X12,'Proje girdileri'!$I$3:$X$3)/5*100,"n.a.")</x:f>
        <x:v>45.099999999999994</x:v>
      </x:c>
      <x:c r="F12" s="2" t="n">
        <x:f>IF(OR(COUNT('Ayarlar'!$B$5:$B$9)&lt;&gt;5,MIN('Ayarlar'!$B$5:$B$7)&lt;=0,MIN('Ayarlar'!$B$8:$B$9)&lt;0,NOT(ISNUMBER(H12)),H12&lt;=0),"n.a.",ROUNDUP(('Ayarlar'!$B$5+'Proje girdileri'!AI12+'Ayarlar'!$B$6*'Proje girdileri'!AJ12)/H12,0))</x:f>
        <x:v>95</x:v>
      </x:c>
      <x:c r="G12" s="2" t="n">
        <x:f>IF(OR('Proje girdileri'!C12="internal",'Proje girdileri'!AE12+'Proje girdileri'!AF12+'Proje girdileri'!AG12*U12&lt;=0),0,MAX(0,ROUNDDOWN((MIN(T12*'Ayarlar'!$B$7,'Ayarlar'!$B$6*52/12*'Ayarlar'!$B$7-'Proje girdileri'!AD12)-T12*'Proje girdileri'!AK12)/('Proje girdileri'!AE12+'Proje girdileri'!AF12+'Proje girdileri'!AG12*U12),0)))</x:f>
        <x:v>177</x:v>
      </x:c>
      <x:c r="H12" s="24" t="n">
        <x:f>IF(COUNT('Proje girdileri'!Y12:AL12)&lt;&gt;14,"n.a.",('Proje girdileri'!Y12*(1-'Proje girdileri'!AA12-'Proje girdileri'!AB12)-'Proje girdileri'!Z12)*U12)</x:f>
        <x:v>33.099999999999994</x:v>
      </x:c>
      <x:c r="I12" s="24" t="n">
        <x:f>IF(ISNUMBER(H12),IF(H12&gt;0,MIN('Proje girdileri'!AL12,G12),0),"n.a.")</x:f>
        <x:v>15</x:v>
      </x:c>
      <x:c r="J12" s="24" t="n">
        <x:f>IF(ISNUMBER(H12),I12*H12-'Proje girdileri'!AI12-'Ayarlar'!$B$6*'Proje girdileri'!AJ12,"n.a.")</x:f>
        <x:v>373.4999999999999</x:v>
      </x:c>
      <x:c r="K12" s="23" t="n">
        <x:f>IF(ISNUMBER(I12),'Proje girdileri'!AD12+T12*'Proje girdileri'!AK12+I12*('Proje girdileri'!AE12+'Proje girdileri'!AF12+'Proje girdileri'!AG12*U12),"n.a.")</x:f>
        <x:v>56.75</x:v>
      </x:c>
      <x:c r="L12" s="23" t="n">
        <x:f>IF(ISNUMBER(J12),J12-K12*'Ayarlar'!$B$9,"n.a.")</x:f>
        <x:v>-1045.25</x:v>
      </x:c>
      <x:c r="M12" s="23" t="n">
        <x:f>IF(AND(ISNUMBER(K12),'Ayarlar'!$B$6&gt;0),K12/('Ayarlar'!$B$6*52/12),"n.a.")</x:f>
        <x:v>2.1826923076923075</x:v>
      </x:c>
      <x:c r="N12" s="2" t="str">
        <x:f>IF('Proje girdileri'!AI12&lt;='Ayarlar'!$B$8,"Sığar","Aşar")</x:f>
        <x:v>Sığar</x:v>
      </x:c>
      <x:c r="O12" s="2" t="str">
        <x:f>IF(ISNUMBER(F12),IF(F12&lt;=G12,"Sığar","Aşar"),"n.a.")</x:f>
        <x:v>Sığar</x:v>
      </x:c>
      <x:c r="P12" s="2" t="n">
        <x:f>IF(OR(C12="Kapsam/engel",NOT(ISNUMBER(D12))),"n.a.",COUNTIFS($D$5:$D$50,"&gt;"&amp;D12,$C$5:$C$50,"&lt;&gt;Kapsam/engel")+COUNTIFS($D$5:D12,D12,$C$5:C12,"&lt;&gt;Kapsam/engel"))</x:f>
        <x:v>33</x:v>
      </x:c>
      <x:c r="Q12" s="2" t="n">
        <x:f>IF(OR(C12="Kapsam/engel",NOT(ISNUMBER(E12))),"n.a.",COUNTIFS($E$5:$E$50,"&gt;"&amp;E12,$C$5:$C$50,"&lt;&gt;Kapsam/engel")+COUNTIFS($E$5:E12,E12,$C$5:C12,"&lt;&gt;Kapsam/engel"))</x:f>
        <x:v>29</x:v>
      </x:c>
      <x:c r="R12" s="2" t="str">
        <x:f>IF(AND(C12="Geçti",N12="Sığar",O12="Sığar"),COUNTIFS($D$5:$D$50,"&gt;"&amp;D12,$C$5:$C$50,"Geçti",$N$5:$N$50,"Sığar",$O$5:$O$50,"Sığar")+COUNTIFS($D$5:D12,D12,$C$5:C12,"Geçti",$N$5:N12,"Sığar",$O$5:O12,"Sığar"),"n.a.")</x:f>
        <x:v>n.a.</x:v>
      </x:c>
      <x:c r="S12" s="24" t="n">
        <x:f>IF(ISNUMBER(J12),J12-MAX(0,J12)*'Ayarlar'!$B$10,"n.a.")</x:f>
        <x:v>373.4999999999999</x:v>
      </x:c>
      <x:c r="T12" s="2" t="n">
        <x:f>IF('Ayarlar'!$B$7&lt;=0,0,MAX(0,'Ayarlar'!$B$6*52/12-MAX('Proje girdileri'!AC12,ROUNDUP('Proje girdileri'!AD12/'Ayarlar'!$B$7,0))))</x:f>
        <x:v>20</x:v>
      </x:c>
      <x:c r="U12" s="2" t="n">
        <x:f>IF(T12=0,0,IF('Proje girdileri'!C12="recurring",IF(MAX(0,'Ayarlar'!$B$6-IF('Ayarlar'!$B$7&lt;=0,99,ROUNDUP(MAX('Proje girdileri'!AC12,ROUNDUP('Proje girdileri'!AD12/'Ayarlar'!$B$7,0))/(52/12),0)))=0,0,(IF(AND(1&gt;IF('Ayarlar'!$B$7&lt;=0,99,ROUNDUP(MAX('Proje girdileri'!AC12,ROUNDUP('Proje girdileri'!AD12/'Ayarlar'!$B$7,0))/(52/12),0)),1&lt;='Ayarlar'!$B$6),IF('Proje girdileri'!AT12=0,MIN('Proje girdileri'!AH12,'Ayarlar'!$B$6-1+1),(1-POWER(1-'Proje girdileri'!AT12,MIN('Proje girdileri'!AH12,'Ayarlar'!$B$6-1+1)))/'Proje girdileri'!AT12),0)+IF(AND(2&gt;IF('Ayarlar'!$B$7&lt;=0,99,ROUNDUP(MAX('Proje girdileri'!AC12,ROUNDUP('Proje girdileri'!AD12/'Ayarlar'!$B$7,0))/(52/12),0)),2&lt;='Ayarlar'!$B$6),IF('Proje girdileri'!AT12=0,MIN('Proje girdileri'!AH12,'Ayarlar'!$B$6-2+1),(1-POWER(1-'Proje girdileri'!AT12,MIN('Proje girdileri'!AH12,'Ayarlar'!$B$6-2+1)))/'Proje girdileri'!AT12),0)+IF(AND(3&gt;IF('Ayarlar'!$B$7&lt;=0,99,ROUNDUP(MAX('Proje girdileri'!AC12,ROUNDUP('Proje girdileri'!AD12/'Ayarlar'!$B$7,0))/(52/12),0)),3&lt;='Ayarlar'!$B$6),IF('Proje girdileri'!AT12=0,MIN('Proje girdileri'!AH12,'Ayarlar'!$B$6-3+1),(1-POWER(1-'Proje girdileri'!AT12,MIN('Proje girdileri'!AH12,'Ayarlar'!$B$6-3+1)))/'Proje girdileri'!AT12),0)+IF(AND(4&gt;IF('Ayarlar'!$B$7&lt;=0,99,ROUNDUP(MAX('Proje girdileri'!AC12,ROUNDUP('Proje girdileri'!AD12/'Ayarlar'!$B$7,0))/(52/12),0)),4&lt;='Ayarlar'!$B$6),IF('Proje girdileri'!AT12=0,MIN('Proje girdileri'!AH12,'Ayarlar'!$B$6-4+1),(1-POWER(1-'Proje girdileri'!AT12,MIN('Proje girdileri'!AH12,'Ayarlar'!$B$6-4+1)))/'Proje girdileri'!AT12),0)+IF(AND(5&gt;IF('Ayarlar'!$B$7&lt;=0,99,ROUNDUP(MAX('Proje girdileri'!AC12,ROUNDUP('Proje girdileri'!AD12/'Ayarlar'!$B$7,0))/(52/12),0)),5&lt;='Ayarlar'!$B$6),IF('Proje girdileri'!AT12=0,MIN('Proje girdileri'!AH12,'Ayarlar'!$B$6-5+1),(1-POWER(1-'Proje girdileri'!AT12,MIN('Proje girdileri'!AH12,'Ayarlar'!$B$6-5+1)))/'Proje girdileri'!AT12),0)+IF(AND(6&gt;IF('Ayarlar'!$B$7&lt;=0,99,ROUNDUP(MAX('Proje girdileri'!AC12,ROUNDUP('Proje girdileri'!AD12/'Ayarlar'!$B$7,0))/(52/12),0)),6&lt;='Ayarlar'!$B$6),IF('Proje girdileri'!AT12=0,MIN('Proje girdileri'!AH12,'Ayarlar'!$B$6-6+1),(1-POWER(1-'Proje girdileri'!AT12,MIN('Proje girdileri'!AH12,'Ayarlar'!$B$6-6+1)))/'Proje girdileri'!AT12),0)+IF(AND(7&gt;IF('Ayarlar'!$B$7&lt;=0,99,ROUNDUP(MAX('Proje girdileri'!AC12,ROUNDUP('Proje girdileri'!AD12/'Ayarlar'!$B$7,0))/(52/12),0)),7&lt;='Ayarlar'!$B$6),IF('Proje girdileri'!AT12=0,MIN('Proje girdileri'!AH12,'Ayarlar'!$B$6-7+1),(1-POWER(1-'Proje girdileri'!AT12,MIN('Proje girdileri'!AH12,'Ayarlar'!$B$6-7+1)))/'Proje girdileri'!AT12),0)+IF(AND(8&gt;IF('Ayarlar'!$B$7&lt;=0,99,ROUNDUP(MAX('Proje girdileri'!AC12,ROUNDUP('Proje girdileri'!AD12/'Ayarlar'!$B$7,0))/(52/12),0)),8&lt;='Ayarlar'!$B$6),IF('Proje girdileri'!AT12=0,MIN('Proje girdileri'!AH12,'Ayarlar'!$B$6-8+1),(1-POWER(1-'Proje girdileri'!AT12,MIN('Proje girdileri'!AH12,'Ayarlar'!$B$6-8+1)))/'Proje girdileri'!AT12),0)+IF(AND(9&gt;IF('Ayarlar'!$B$7&lt;=0,99,ROUNDUP(MAX('Proje girdileri'!AC12,ROUNDUP('Proje girdileri'!AD12/'Ayarlar'!$B$7,0))/(52/12),0)),9&lt;='Ayarlar'!$B$6),IF('Proje girdileri'!AT12=0,MIN('Proje girdileri'!AH12,'Ayarlar'!$B$6-9+1),(1-POWER(1-'Proje girdileri'!AT12,MIN('Proje girdileri'!AH12,'Ayarlar'!$B$6-9+1)))/'Proje girdileri'!AT12),0)+IF(AND(10&gt;IF('Ayarlar'!$B$7&lt;=0,99,ROUNDUP(MAX('Proje girdileri'!AC12,ROUNDUP('Proje girdileri'!AD12/'Ayarlar'!$B$7,0))/(52/12),0)),10&lt;='Ayarlar'!$B$6),IF('Proje girdileri'!AT12=0,MIN('Proje girdileri'!AH12,'Ayarlar'!$B$6-10+1),(1-POWER(1-'Proje girdileri'!AT12,MIN('Proje girdileri'!AH12,'Ayarlar'!$B$6-10+1)))/'Proje girdileri'!AT12),0)+IF(AND(11&gt;IF('Ayarlar'!$B$7&lt;=0,99,ROUNDUP(MAX('Proje girdileri'!AC12,ROUNDUP('Proje girdileri'!AD12/'Ayarlar'!$B$7,0))/(52/12),0)),11&lt;='Ayarlar'!$B$6),IF('Proje girdileri'!AT12=0,MIN('Proje girdileri'!AH12,'Ayarlar'!$B$6-11+1),(1-POWER(1-'Proje girdileri'!AT12,MIN('Proje girdileri'!AH12,'Ayarlar'!$B$6-11+1)))/'Proje girdileri'!AT12),0)+IF(AND(12&gt;IF('Ayarlar'!$B$7&lt;=0,99,ROUNDUP(MAX('Proje girdileri'!AC12,ROUNDUP('Proje girdileri'!AD12/'Ayarlar'!$B$7,0))/(52/12),0)),12&lt;='Ayarlar'!$B$6),IF('Proje girdileri'!AT12=0,MIN('Proje girdileri'!AH12,'Ayarlar'!$B$6-12+1),(1-POWER(1-'Proje girdileri'!AT12,MIN('Proje girdileri'!AH12,'Ayarlar'!$B$6-12+1)))/'Proje girdileri'!AT12),0))/MAX(0,'Ayarlar'!$B$6-IF('Ayarlar'!$B$7&lt;=0,99,ROUNDUP(MAX('Proje girdileri'!AC12,ROUNDUP('Proje girdileri'!AD12/'Ayarlar'!$B$7,0))/(52/12),0)))),1))</x:f>
        <x:v>1</x:v>
      </x:c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24" customHeight="1">
      <x:c r="A13" s="2" t="str">
        <x:f>'Proje girdileri'!A13</x:f>
        <x:v>Aile-09</x:v>
      </x:c>
      <x:c r="B13" s="2" t="str">
        <x:f>'Proje girdileri'!B13</x:f>
        <x:v>Markalı kampanya çıktısı</x:v>
      </x:c>
      <x:c r="C13" s="2" t="str">
        <x:f>IF(OR(COUNT('Proje girdileri'!D13:H13)&lt;&gt;5,MIN('Proje girdileri'!D13:H13)&lt;0,MAX('Proje girdileri'!D13:H13)&gt;2),"Yalnız deney",IF(MIN('Proje girdileri'!D13:H13)=0,"Kapsam/engel",IF(MIN('Proje girdileri'!D13:H13)=1,"Yalnız deney","Geçti")))</x:f>
        <x:v>Yalnız deney</x:v>
      </x:c>
      <x:c r="D13" s="23" t="n">
        <x:f>IF(AND(COUNT('Proje girdileri'!I13:X13)=16,MIN('Proje girdileri'!I13:X13)&gt;=0,MAX('Proje girdileri'!I13:X13)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girdileri'!I13:X13,'Proje girdileri'!$I$2:$X$2)/5*100,"n.a.")</x:f>
        <x:v>46.80000000000001</x:v>
      </x:c>
      <x:c r="E13" s="23" t="n">
        <x:f>IF(AND(COUNT('Proje girdileri'!I13:X13)=16,MIN('Proje girdileri'!I13:X13)&gt;=0,MAX('Proje girdileri'!I13:X13)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girdileri'!I13:X13,'Proje girdileri'!$I$3:$X$3)/5*100,"n.a.")</x:f>
        <x:v>44.90000000000001</x:v>
      </x:c>
      <x:c r="F13" s="2" t="n">
        <x:f>IF(OR(COUNT('Ayarlar'!$B$5:$B$9)&lt;&gt;5,MIN('Ayarlar'!$B$5:$B$7)&lt;=0,MIN('Ayarlar'!$B$8:$B$9)&lt;0,NOT(ISNUMBER(H13)),H13&lt;=0),"n.a.",ROUNDUP(('Ayarlar'!$B$5+'Proje girdileri'!AI13+'Ayarlar'!$B$6*'Proje girdileri'!AJ13)/H13,0))</x:f>
        <x:v>12</x:v>
      </x:c>
      <x:c r="G13" s="2" t="n">
        <x:f>IF(OR('Proje girdileri'!C13="internal",'Proje girdileri'!AE13+'Proje girdileri'!AF13+'Proje girdileri'!AG13*U13&lt;=0),0,MAX(0,ROUNDDOWN((MIN(T13*'Ayarlar'!$B$7,'Ayarlar'!$B$6*52/12*'Ayarlar'!$B$7-'Proje girdileri'!AD13)-T13*'Proje girdileri'!AK13)/('Proje girdileri'!AE13+'Proje girdileri'!AF13+'Proje girdileri'!AG13*U13),0)))</x:f>
        <x:v>11</x:v>
      </x:c>
      <x:c r="H13" s="24" t="n">
        <x:f>IF(COUNT('Proje girdileri'!Y13:AL13)&lt;&gt;14,"n.a.",('Proje girdileri'!Y13*(1-'Proje girdileri'!AA13-'Proje girdileri'!AB13)-'Proje girdileri'!Z13)*U13)</x:f>
        <x:v>279</x:v>
      </x:c>
      <x:c r="I13" s="24" t="n">
        <x:f>IF(ISNUMBER(H13),IF(H13&gt;0,MIN('Proje girdileri'!AL13,G13),0),"n.a.")</x:f>
        <x:v>3</x:v>
      </x:c>
      <x:c r="J13" s="24" t="n">
        <x:f>IF(ISNUMBER(H13),I13*H13-'Proje girdileri'!AI13-'Ayarlar'!$B$6*'Proje girdileri'!AJ13,"n.a.")</x:f>
        <x:v>597</x:v>
      </x:c>
      <x:c r="K13" s="23" t="n">
        <x:f>IF(ISNUMBER(I13),'Proje girdileri'!AD13+T13*'Proje girdileri'!AK13+I13*('Proje girdileri'!AE13+'Proje girdileri'!AF13+'Proje girdileri'!AG13*U13),"n.a.")</x:f>
        <x:v>56.5</x:v>
      </x:c>
      <x:c r="L13" s="23" t="n">
        <x:f>IF(ISNUMBER(J13),J13-K13*'Ayarlar'!$B$9,"n.a.")</x:f>
        <x:v>-815.5</x:v>
      </x:c>
      <x:c r="M13" s="23" t="n">
        <x:f>IF(AND(ISNUMBER(K13),'Ayarlar'!$B$6&gt;0),K13/('Ayarlar'!$B$6*52/12),"n.a.")</x:f>
        <x:v>2.173076923076923</x:v>
      </x:c>
      <x:c r="N13" s="2" t="str">
        <x:f>IF('Proje girdileri'!AI13&lt;='Ayarlar'!$B$8,"Sığar","Aşar")</x:f>
        <x:v>Sığar</x:v>
      </x:c>
      <x:c r="O13" s="2" t="str">
        <x:f>IF(ISNUMBER(F13),IF(F13&lt;=G13,"Sığar","Aşar"),"n.a.")</x:f>
        <x:v>Aşar</x:v>
      </x:c>
      <x:c r="P13" s="2" t="n">
        <x:f>IF(OR(C13="Kapsam/engel",NOT(ISNUMBER(D13))),"n.a.",COUNTIFS($D$5:$D$50,"&gt;"&amp;D13,$C$5:$C$50,"&lt;&gt;Kapsam/engel")+COUNTIFS($D$5:D13,D13,$C$5:C13,"&lt;&gt;Kapsam/engel"))</x:f>
        <x:v>24</x:v>
      </x:c>
      <x:c r="Q13" s="2" t="n">
        <x:f>IF(OR(C13="Kapsam/engel",NOT(ISNUMBER(E13))),"n.a.",COUNTIFS($E$5:$E$50,"&gt;"&amp;E13,$C$5:$C$50,"&lt;&gt;Kapsam/engel")+COUNTIFS($E$5:E13,E13,$C$5:C13,"&lt;&gt;Kapsam/engel"))</x:f>
        <x:v>30</x:v>
      </x:c>
      <x:c r="R13" s="2" t="str">
        <x:f>IF(AND(C13="Geçti",N13="Sığar",O13="Sığar"),COUNTIFS($D$5:$D$50,"&gt;"&amp;D13,$C$5:$C$50,"Geçti",$N$5:$N$50,"Sığar",$O$5:$O$50,"Sığar")+COUNTIFS($D$5:D13,D13,$C$5:C13,"Geçti",$N$5:N13,"Sığar",$O$5:O13,"Sığar"),"n.a.")</x:f>
        <x:v>n.a.</x:v>
      </x:c>
      <x:c r="S13" s="24" t="n">
        <x:f>IF(ISNUMBER(J13),J13-MAX(0,J13)*'Ayarlar'!$B$10,"n.a.")</x:f>
        <x:v>597</x:v>
      </x:c>
      <x:c r="T13" s="2" t="n">
        <x:f>IF('Ayarlar'!$B$7&lt;=0,0,MAX(0,'Ayarlar'!$B$6*52/12-MAX('Proje girdileri'!AC13,ROUNDUP('Proje girdileri'!AD13/'Ayarlar'!$B$7,0))))</x:f>
        <x:v>22</x:v>
      </x:c>
      <x:c r="U13" s="2" t="n">
        <x:f>IF(T13=0,0,IF('Proje girdileri'!C13="recurring",IF(MAX(0,'Ayarlar'!$B$6-IF('Ayarlar'!$B$7&lt;=0,99,ROUNDUP(MAX('Proje girdileri'!AC13,ROUNDUP('Proje girdileri'!AD13/'Ayarlar'!$B$7,0))/(52/12),0)))=0,0,(IF(AND(1&gt;IF('Ayarlar'!$B$7&lt;=0,99,ROUNDUP(MAX('Proje girdileri'!AC13,ROUNDUP('Proje girdileri'!AD13/'Ayarlar'!$B$7,0))/(52/12),0)),1&lt;='Ayarlar'!$B$6),IF('Proje girdileri'!AT13=0,MIN('Proje girdileri'!AH13,'Ayarlar'!$B$6-1+1),(1-POWER(1-'Proje girdileri'!AT13,MIN('Proje girdileri'!AH13,'Ayarlar'!$B$6-1+1)))/'Proje girdileri'!AT13),0)+IF(AND(2&gt;IF('Ayarlar'!$B$7&lt;=0,99,ROUNDUP(MAX('Proje girdileri'!AC13,ROUNDUP('Proje girdileri'!AD13/'Ayarlar'!$B$7,0))/(52/12),0)),2&lt;='Ayarlar'!$B$6),IF('Proje girdileri'!AT13=0,MIN('Proje girdileri'!AH13,'Ayarlar'!$B$6-2+1),(1-POWER(1-'Proje girdileri'!AT13,MIN('Proje girdileri'!AH13,'Ayarlar'!$B$6-2+1)))/'Proje girdileri'!AT13),0)+IF(AND(3&gt;IF('Ayarlar'!$B$7&lt;=0,99,ROUNDUP(MAX('Proje girdileri'!AC13,ROUNDUP('Proje girdileri'!AD13/'Ayarlar'!$B$7,0))/(52/12),0)),3&lt;='Ayarlar'!$B$6),IF('Proje girdileri'!AT13=0,MIN('Proje girdileri'!AH13,'Ayarlar'!$B$6-3+1),(1-POWER(1-'Proje girdileri'!AT13,MIN('Proje girdileri'!AH13,'Ayarlar'!$B$6-3+1)))/'Proje girdileri'!AT13),0)+IF(AND(4&gt;IF('Ayarlar'!$B$7&lt;=0,99,ROUNDUP(MAX('Proje girdileri'!AC13,ROUNDUP('Proje girdileri'!AD13/'Ayarlar'!$B$7,0))/(52/12),0)),4&lt;='Ayarlar'!$B$6),IF('Proje girdileri'!AT13=0,MIN('Proje girdileri'!AH13,'Ayarlar'!$B$6-4+1),(1-POWER(1-'Proje girdileri'!AT13,MIN('Proje girdileri'!AH13,'Ayarlar'!$B$6-4+1)))/'Proje girdileri'!AT13),0)+IF(AND(5&gt;IF('Ayarlar'!$B$7&lt;=0,99,ROUNDUP(MAX('Proje girdileri'!AC13,ROUNDUP('Proje girdileri'!AD13/'Ayarlar'!$B$7,0))/(52/12),0)),5&lt;='Ayarlar'!$B$6),IF('Proje girdileri'!AT13=0,MIN('Proje girdileri'!AH13,'Ayarlar'!$B$6-5+1),(1-POWER(1-'Proje girdileri'!AT13,MIN('Proje girdileri'!AH13,'Ayarlar'!$B$6-5+1)))/'Proje girdileri'!AT13),0)+IF(AND(6&gt;IF('Ayarlar'!$B$7&lt;=0,99,ROUNDUP(MAX('Proje girdileri'!AC13,ROUNDUP('Proje girdileri'!AD13/'Ayarlar'!$B$7,0))/(52/12),0)),6&lt;='Ayarlar'!$B$6),IF('Proje girdileri'!AT13=0,MIN('Proje girdileri'!AH13,'Ayarlar'!$B$6-6+1),(1-POWER(1-'Proje girdileri'!AT13,MIN('Proje girdileri'!AH13,'Ayarlar'!$B$6-6+1)))/'Proje girdileri'!AT13),0)+IF(AND(7&gt;IF('Ayarlar'!$B$7&lt;=0,99,ROUNDUP(MAX('Proje girdileri'!AC13,ROUNDUP('Proje girdileri'!AD13/'Ayarlar'!$B$7,0))/(52/12),0)),7&lt;='Ayarlar'!$B$6),IF('Proje girdileri'!AT13=0,MIN('Proje girdileri'!AH13,'Ayarlar'!$B$6-7+1),(1-POWER(1-'Proje girdileri'!AT13,MIN('Proje girdileri'!AH13,'Ayarlar'!$B$6-7+1)))/'Proje girdileri'!AT13),0)+IF(AND(8&gt;IF('Ayarlar'!$B$7&lt;=0,99,ROUNDUP(MAX('Proje girdileri'!AC13,ROUNDUP('Proje girdileri'!AD13/'Ayarlar'!$B$7,0))/(52/12),0)),8&lt;='Ayarlar'!$B$6),IF('Proje girdileri'!AT13=0,MIN('Proje girdileri'!AH13,'Ayarlar'!$B$6-8+1),(1-POWER(1-'Proje girdileri'!AT13,MIN('Proje girdileri'!AH13,'Ayarlar'!$B$6-8+1)))/'Proje girdileri'!AT13),0)+IF(AND(9&gt;IF('Ayarlar'!$B$7&lt;=0,99,ROUNDUP(MAX('Proje girdileri'!AC13,ROUNDUP('Proje girdileri'!AD13/'Ayarlar'!$B$7,0))/(52/12),0)),9&lt;='Ayarlar'!$B$6),IF('Proje girdileri'!AT13=0,MIN('Proje girdileri'!AH13,'Ayarlar'!$B$6-9+1),(1-POWER(1-'Proje girdileri'!AT13,MIN('Proje girdileri'!AH13,'Ayarlar'!$B$6-9+1)))/'Proje girdileri'!AT13),0)+IF(AND(10&gt;IF('Ayarlar'!$B$7&lt;=0,99,ROUNDUP(MAX('Proje girdileri'!AC13,ROUNDUP('Proje girdileri'!AD13/'Ayarlar'!$B$7,0))/(52/12),0)),10&lt;='Ayarlar'!$B$6),IF('Proje girdileri'!AT13=0,MIN('Proje girdileri'!AH13,'Ayarlar'!$B$6-10+1),(1-POWER(1-'Proje girdileri'!AT13,MIN('Proje girdileri'!AH13,'Ayarlar'!$B$6-10+1)))/'Proje girdileri'!AT13),0)+IF(AND(11&gt;IF('Ayarlar'!$B$7&lt;=0,99,ROUNDUP(MAX('Proje girdileri'!AC13,ROUNDUP('Proje girdileri'!AD13/'Ayarlar'!$B$7,0))/(52/12),0)),11&lt;='Ayarlar'!$B$6),IF('Proje girdileri'!AT13=0,MIN('Proje girdileri'!AH13,'Ayarlar'!$B$6-11+1),(1-POWER(1-'Proje girdileri'!AT13,MIN('Proje girdileri'!AH13,'Ayarlar'!$B$6-11+1)))/'Proje girdileri'!AT13),0)+IF(AND(12&gt;IF('Ayarlar'!$B$7&lt;=0,99,ROUNDUP(MAX('Proje girdileri'!AC13,ROUNDUP('Proje girdileri'!AD13/'Ayarlar'!$B$7,0))/(52/12),0)),12&lt;='Ayarlar'!$B$6),IF('Proje girdileri'!AT13=0,MIN('Proje girdileri'!AH13,'Ayarlar'!$B$6-12+1),(1-POWER(1-'Proje girdileri'!AT13,MIN('Proje girdileri'!AH13,'Ayarlar'!$B$6-12+1)))/'Proje girdileri'!AT13),0))/MAX(0,'Ayarlar'!$B$6-IF('Ayarlar'!$B$7&lt;=0,99,ROUNDUP(MAX('Proje girdileri'!AC13,ROUNDUP('Proje girdileri'!AD13/'Ayarlar'!$B$7,0))/(52/12),0)))),1))</x:f>
        <x:v>1</x:v>
      </x:c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24" customHeight="1">
      <x:c r="A14" s="2" t="str">
        <x:f>'Proje girdileri'!A14</x:f>
        <x:v>Aile-10</x:v>
      </x:c>
      <x:c r="B14" s="2" t="str">
        <x:f>'Proje girdileri'!B14</x:f>
        <x:v>Guardian</x:v>
      </x:c>
      <x:c r="C14" s="2" t="str">
        <x:f>IF(OR(COUNT('Proje girdileri'!D14:H14)&lt;&gt;5,MIN('Proje girdileri'!D14:H14)&lt;0,MAX('Proje girdileri'!D14:H14)&gt;2),"Yalnız deney",IF(MIN('Proje girdileri'!D14:H14)=0,"Kapsam/engel",IF(MIN('Proje girdileri'!D14:H14)=1,"Yalnız deney","Geçti")))</x:f>
        <x:v>Yalnız deney</x:v>
      </x:c>
      <x:c r="D14" s="23" t="n">
        <x:f>IF(AND(COUNT('Proje girdileri'!I14:X14)=16,MIN('Proje girdileri'!I14:X14)&gt;=0,MAX('Proje girdileri'!I14:X14)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girdileri'!I14:X14,'Proje girdileri'!$I$2:$X$2)/5*100,"n.a.")</x:f>
        <x:v>50.10000000000001</x:v>
      </x:c>
      <x:c r="E14" s="23" t="n">
        <x:f>IF(AND(COUNT('Proje girdileri'!I14:X14)=16,MIN('Proje girdileri'!I14:X14)&gt;=0,MAX('Proje girdileri'!I14:X14)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girdileri'!I14:X14,'Proje girdileri'!$I$3:$X$3)/5*100,"n.a.")</x:f>
        <x:v>50.10000000000001</x:v>
      </x:c>
      <x:c r="F14" s="2" t="n">
        <x:f>IF(OR(COUNT('Ayarlar'!$B$5:$B$9)&lt;&gt;5,MIN('Ayarlar'!$B$5:$B$7)&lt;=0,MIN('Ayarlar'!$B$8:$B$9)&lt;0,NOT(ISNUMBER(H14)),H14&lt;=0),"n.a.",ROUNDUP(('Ayarlar'!$B$5+'Proje girdileri'!AI14+'Ayarlar'!$B$6*'Proje girdileri'!AJ14)/H14,0))</x:f>
        <x:v>75</x:v>
      </x:c>
      <x:c r="G14" s="2" t="n">
        <x:f>IF(OR('Proje girdileri'!C14="internal",'Proje girdileri'!AE14+'Proje girdileri'!AF14+'Proje girdileri'!AG14*U14&lt;=0),0,MAX(0,ROUNDDOWN((MIN(T14*'Ayarlar'!$B$7,'Ayarlar'!$B$6*52/12*'Ayarlar'!$B$7-'Proje girdileri'!AD14)-T14*'Proje girdileri'!AK14)/('Proje girdileri'!AE14+'Proje girdileri'!AF14+'Proje girdileri'!AG14*U14),0)))</x:f>
        <x:v>97</x:v>
      </x:c>
      <x:c r="H14" s="24" t="n">
        <x:f>IF(COUNT('Proje girdileri'!Y14:AL14)&lt;&gt;14,"n.a.",('Proje girdileri'!Y14*(1-'Proje girdileri'!AA14-'Proje girdileri'!AB14)-'Proje girdileri'!Z14)*U14)</x:f>
        <x:v>42.099999999999994</x:v>
      </x:c>
      <x:c r="I14" s="24" t="n">
        <x:f>IF(ISNUMBER(H14),IF(H14&gt;0,MIN('Proje girdileri'!AL14,G14),0),"n.a.")</x:f>
        <x:v>15</x:v>
      </x:c>
      <x:c r="J14" s="24" t="n">
        <x:f>IF(ISNUMBER(H14),I14*H14-'Proje girdileri'!AI14-'Ayarlar'!$B$6*'Proje girdileri'!AJ14,"n.a.")</x:f>
        <x:v>508.4999999999999</x:v>
      </x:c>
      <x:c r="K14" s="23" t="n">
        <x:f>IF(ISNUMBER(I14),'Proje girdileri'!AD14+T14*'Proje girdileri'!AK14+I14*('Proje girdileri'!AE14+'Proje girdileri'!AF14+'Proje girdileri'!AG14*U14),"n.a.")</x:f>
        <x:v>53.5</x:v>
      </x:c>
      <x:c r="L14" s="23" t="n">
        <x:f>IF(ISNUMBER(J14),J14-K14*'Ayarlar'!$B$9,"n.a.")</x:f>
        <x:v>-829.0000000000001</x:v>
      </x:c>
      <x:c r="M14" s="23" t="n">
        <x:f>IF(AND(ISNUMBER(K14),'Ayarlar'!$B$6&gt;0),K14/('Ayarlar'!$B$6*52/12),"n.a.")</x:f>
        <x:v>2.0576923076923075</x:v>
      </x:c>
      <x:c r="N14" s="2" t="str">
        <x:f>IF('Proje girdileri'!AI14&lt;='Ayarlar'!$B$8,"Sığar","Aşar")</x:f>
        <x:v>Sığar</x:v>
      </x:c>
      <x:c r="O14" s="2" t="str">
        <x:f>IF(ISNUMBER(F14),IF(F14&lt;=G14,"Sığar","Aşar"),"n.a.")</x:f>
        <x:v>Sığar</x:v>
      </x:c>
      <x:c r="P14" s="2" t="n">
        <x:f>IF(OR(C14="Kapsam/engel",NOT(ISNUMBER(D14))),"n.a.",COUNTIFS($D$5:$D$50,"&gt;"&amp;D14,$C$5:$C$50,"&lt;&gt;Kapsam/engel")+COUNTIFS($D$5:D14,D14,$C$5:C14,"&lt;&gt;Kapsam/engel"))</x:f>
        <x:v>16</x:v>
      </x:c>
      <x:c r="Q14" s="2" t="n">
        <x:f>IF(OR(C14="Kapsam/engel",NOT(ISNUMBER(E14))),"n.a.",COUNTIFS($E$5:$E$50,"&gt;"&amp;E14,$C$5:$C$50,"&lt;&gt;Kapsam/engel")+COUNTIFS($E$5:E14,E14,$C$5:C14,"&lt;&gt;Kapsam/engel"))</x:f>
        <x:v>14</x:v>
      </x:c>
      <x:c r="R14" s="2" t="str">
        <x:f>IF(AND(C14="Geçti",N14="Sığar",O14="Sığar"),COUNTIFS($D$5:$D$50,"&gt;"&amp;D14,$C$5:$C$50,"Geçti",$N$5:$N$50,"Sığar",$O$5:$O$50,"Sığar")+COUNTIFS($D$5:D14,D14,$C$5:C14,"Geçti",$N$5:N14,"Sığar",$O$5:O14,"Sığar"),"n.a.")</x:f>
        <x:v>n.a.</x:v>
      </x:c>
      <x:c r="S14" s="24" t="n">
        <x:f>IF(ISNUMBER(J14),J14-MAX(0,J14)*'Ayarlar'!$B$10,"n.a.")</x:f>
        <x:v>508.4999999999999</x:v>
      </x:c>
      <x:c r="T14" s="2" t="n">
        <x:f>IF('Ayarlar'!$B$7&lt;=0,0,MAX(0,'Ayarlar'!$B$6*52/12-MAX('Proje girdileri'!AC14,ROUNDUP('Proje girdileri'!AD14/'Ayarlar'!$B$7,0))))</x:f>
        <x:v>22</x:v>
      </x:c>
      <x:c r="U14" s="2" t="n">
        <x:f>IF(T14=0,0,IF('Proje girdileri'!C14="recurring",IF(MAX(0,'Ayarlar'!$B$6-IF('Ayarlar'!$B$7&lt;=0,99,ROUNDUP(MAX('Proje girdileri'!AC14,ROUNDUP('Proje girdileri'!AD14/'Ayarlar'!$B$7,0))/(52/12),0)))=0,0,(IF(AND(1&gt;IF('Ayarlar'!$B$7&lt;=0,99,ROUNDUP(MAX('Proje girdileri'!AC14,ROUNDUP('Proje girdileri'!AD14/'Ayarlar'!$B$7,0))/(52/12),0)),1&lt;='Ayarlar'!$B$6),IF('Proje girdileri'!AT14=0,MIN('Proje girdileri'!AH14,'Ayarlar'!$B$6-1+1),(1-POWER(1-'Proje girdileri'!AT14,MIN('Proje girdileri'!AH14,'Ayarlar'!$B$6-1+1)))/'Proje girdileri'!AT14),0)+IF(AND(2&gt;IF('Ayarlar'!$B$7&lt;=0,99,ROUNDUP(MAX('Proje girdileri'!AC14,ROUNDUP('Proje girdileri'!AD14/'Ayarlar'!$B$7,0))/(52/12),0)),2&lt;='Ayarlar'!$B$6),IF('Proje girdileri'!AT14=0,MIN('Proje girdileri'!AH14,'Ayarlar'!$B$6-2+1),(1-POWER(1-'Proje girdileri'!AT14,MIN('Proje girdileri'!AH14,'Ayarlar'!$B$6-2+1)))/'Proje girdileri'!AT14),0)+IF(AND(3&gt;IF('Ayarlar'!$B$7&lt;=0,99,ROUNDUP(MAX('Proje girdileri'!AC14,ROUNDUP('Proje girdileri'!AD14/'Ayarlar'!$B$7,0))/(52/12),0)),3&lt;='Ayarlar'!$B$6),IF('Proje girdileri'!AT14=0,MIN('Proje girdileri'!AH14,'Ayarlar'!$B$6-3+1),(1-POWER(1-'Proje girdileri'!AT14,MIN('Proje girdileri'!AH14,'Ayarlar'!$B$6-3+1)))/'Proje girdileri'!AT14),0)+IF(AND(4&gt;IF('Ayarlar'!$B$7&lt;=0,99,ROUNDUP(MAX('Proje girdileri'!AC14,ROUNDUP('Proje girdileri'!AD14/'Ayarlar'!$B$7,0))/(52/12),0)),4&lt;='Ayarlar'!$B$6),IF('Proje girdileri'!AT14=0,MIN('Proje girdileri'!AH14,'Ayarlar'!$B$6-4+1),(1-POWER(1-'Proje girdileri'!AT14,MIN('Proje girdileri'!AH14,'Ayarlar'!$B$6-4+1)))/'Proje girdileri'!AT14),0)+IF(AND(5&gt;IF('Ayarlar'!$B$7&lt;=0,99,ROUNDUP(MAX('Proje girdileri'!AC14,ROUNDUP('Proje girdileri'!AD14/'Ayarlar'!$B$7,0))/(52/12),0)),5&lt;='Ayarlar'!$B$6),IF('Proje girdileri'!AT14=0,MIN('Proje girdileri'!AH14,'Ayarlar'!$B$6-5+1),(1-POWER(1-'Proje girdileri'!AT14,MIN('Proje girdileri'!AH14,'Ayarlar'!$B$6-5+1)))/'Proje girdileri'!AT14),0)+IF(AND(6&gt;IF('Ayarlar'!$B$7&lt;=0,99,ROUNDUP(MAX('Proje girdileri'!AC14,ROUNDUP('Proje girdileri'!AD14/'Ayarlar'!$B$7,0))/(52/12),0)),6&lt;='Ayarlar'!$B$6),IF('Proje girdileri'!AT14=0,MIN('Proje girdileri'!AH14,'Ayarlar'!$B$6-6+1),(1-POWER(1-'Proje girdileri'!AT14,MIN('Proje girdileri'!AH14,'Ayarlar'!$B$6-6+1)))/'Proje girdileri'!AT14),0)+IF(AND(7&gt;IF('Ayarlar'!$B$7&lt;=0,99,ROUNDUP(MAX('Proje girdileri'!AC14,ROUNDUP('Proje girdileri'!AD14/'Ayarlar'!$B$7,0))/(52/12),0)),7&lt;='Ayarlar'!$B$6),IF('Proje girdileri'!AT14=0,MIN('Proje girdileri'!AH14,'Ayarlar'!$B$6-7+1),(1-POWER(1-'Proje girdileri'!AT14,MIN('Proje girdileri'!AH14,'Ayarlar'!$B$6-7+1)))/'Proje girdileri'!AT14),0)+IF(AND(8&gt;IF('Ayarlar'!$B$7&lt;=0,99,ROUNDUP(MAX('Proje girdileri'!AC14,ROUNDUP('Proje girdileri'!AD14/'Ayarlar'!$B$7,0))/(52/12),0)),8&lt;='Ayarlar'!$B$6),IF('Proje girdileri'!AT14=0,MIN('Proje girdileri'!AH14,'Ayarlar'!$B$6-8+1),(1-POWER(1-'Proje girdileri'!AT14,MIN('Proje girdileri'!AH14,'Ayarlar'!$B$6-8+1)))/'Proje girdileri'!AT14),0)+IF(AND(9&gt;IF('Ayarlar'!$B$7&lt;=0,99,ROUNDUP(MAX('Proje girdileri'!AC14,ROUNDUP('Proje girdileri'!AD14/'Ayarlar'!$B$7,0))/(52/12),0)),9&lt;='Ayarlar'!$B$6),IF('Proje girdileri'!AT14=0,MIN('Proje girdileri'!AH14,'Ayarlar'!$B$6-9+1),(1-POWER(1-'Proje girdileri'!AT14,MIN('Proje girdileri'!AH14,'Ayarlar'!$B$6-9+1)))/'Proje girdileri'!AT14),0)+IF(AND(10&gt;IF('Ayarlar'!$B$7&lt;=0,99,ROUNDUP(MAX('Proje girdileri'!AC14,ROUNDUP('Proje girdileri'!AD14/'Ayarlar'!$B$7,0))/(52/12),0)),10&lt;='Ayarlar'!$B$6),IF('Proje girdileri'!AT14=0,MIN('Proje girdileri'!AH14,'Ayarlar'!$B$6-10+1),(1-POWER(1-'Proje girdileri'!AT14,MIN('Proje girdileri'!AH14,'Ayarlar'!$B$6-10+1)))/'Proje girdileri'!AT14),0)+IF(AND(11&gt;IF('Ayarlar'!$B$7&lt;=0,99,ROUNDUP(MAX('Proje girdileri'!AC14,ROUNDUP('Proje girdileri'!AD14/'Ayarlar'!$B$7,0))/(52/12),0)),11&lt;='Ayarlar'!$B$6),IF('Proje girdileri'!AT14=0,MIN('Proje girdileri'!AH14,'Ayarlar'!$B$6-11+1),(1-POWER(1-'Proje girdileri'!AT14,MIN('Proje girdileri'!AH14,'Ayarlar'!$B$6-11+1)))/'Proje girdileri'!AT14),0)+IF(AND(12&gt;IF('Ayarlar'!$B$7&lt;=0,99,ROUNDUP(MAX('Proje girdileri'!AC14,ROUNDUP('Proje girdileri'!AD14/'Ayarlar'!$B$7,0))/(52/12),0)),12&lt;='Ayarlar'!$B$6),IF('Proje girdileri'!AT14=0,MIN('Proje girdileri'!AH14,'Ayarlar'!$B$6-12+1),(1-POWER(1-'Proje girdileri'!AT14,MIN('Proje girdileri'!AH14,'Ayarlar'!$B$6-12+1)))/'Proje girdileri'!AT14),0))/MAX(0,'Ayarlar'!$B$6-IF('Ayarlar'!$B$7&lt;=0,99,ROUNDUP(MAX('Proje girdileri'!AC14,ROUNDUP('Proje girdileri'!AD14/'Ayarlar'!$B$7,0))/(52/12),0)))),1))</x:f>
        <x:v>1</x:v>
      </x:c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24" customHeight="1">
      <x:c r="A15" s="2" t="str">
        <x:f>'Proje girdileri'!A15</x:f>
        <x:v>Aile-11</x:v>
      </x:c>
      <x:c r="B15" s="2" t="str">
        <x:f>'Proje girdileri'!B15</x:f>
        <x:v>Keşif sihirbazı</x:v>
      </x:c>
      <x:c r="C15" s="2" t="str">
        <x:f>IF(OR(COUNT('Proje girdileri'!D15:H15)&lt;&gt;5,MIN('Proje girdileri'!D15:H15)&lt;0,MAX('Proje girdileri'!D15:H15)&gt;2),"Yalnız deney",IF(MIN('Proje girdileri'!D15:H15)=0,"Kapsam/engel",IF(MIN('Proje girdileri'!D15:H15)=1,"Yalnız deney","Geçti")))</x:f>
        <x:v>Yalnız deney</x:v>
      </x:c>
      <x:c r="D15" s="23" t="n">
        <x:f>IF(AND(COUNT('Proje girdileri'!I15:X15)=16,MIN('Proje girdileri'!I15:X15)&gt;=0,MAX('Proje girdileri'!I15:X15)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girdileri'!I15:X15,'Proje girdileri'!$I$2:$X$2)/5*100,"n.a.")</x:f>
        <x:v>50.7</x:v>
      </x:c>
      <x:c r="E15" s="23" t="n">
        <x:f>IF(AND(COUNT('Proje girdileri'!I15:X15)=16,MIN('Proje girdileri'!I15:X15)&gt;=0,MAX('Proje girdileri'!I15:X15)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girdileri'!I15:X15,'Proje girdileri'!$I$3:$X$3)/5*100,"n.a.")</x:f>
        <x:v>50.3</x:v>
      </x:c>
      <x:c r="F15" s="2" t="n">
        <x:f>IF(OR(COUNT('Ayarlar'!$B$5:$B$9)&lt;&gt;5,MIN('Ayarlar'!$B$5:$B$7)&lt;=0,MIN('Ayarlar'!$B$8:$B$9)&lt;0,NOT(ISNUMBER(H15)),H15&lt;=0),"n.a.",ROUNDUP(('Ayarlar'!$B$5+'Proje girdileri'!AI15+'Ayarlar'!$B$6*'Proje girdileri'!AJ15)/H15,0))</x:f>
        <x:v>95</x:v>
      </x:c>
      <x:c r="G15" s="2" t="n">
        <x:f>IF(OR('Proje girdileri'!C15="internal",'Proje girdileri'!AE15+'Proje girdileri'!AF15+'Proje girdileri'!AG15*U15&lt;=0),0,MAX(0,ROUNDDOWN((MIN(T15*'Ayarlar'!$B$7,'Ayarlar'!$B$6*52/12*'Ayarlar'!$B$7-'Proje girdileri'!AD15)-T15*'Proje girdileri'!AK15)/('Proje girdileri'!AE15+'Proje girdileri'!AF15+'Proje girdileri'!AG15*U15),0)))</x:f>
        <x:v>177</x:v>
      </x:c>
      <x:c r="H15" s="24" t="n">
        <x:f>IF(COUNT('Proje girdileri'!Y15:AL15)&lt;&gt;14,"n.a.",('Proje girdileri'!Y15*(1-'Proje girdileri'!AA15-'Proje girdileri'!AB15)-'Proje girdileri'!Z15)*U15)</x:f>
        <x:v>33.099999999999994</x:v>
      </x:c>
      <x:c r="I15" s="24" t="n">
        <x:f>IF(ISNUMBER(H15),IF(H15&gt;0,MIN('Proje girdileri'!AL15,G15),0),"n.a.")</x:f>
        <x:v>15</x:v>
      </x:c>
      <x:c r="J15" s="24" t="n">
        <x:f>IF(ISNUMBER(H15),I15*H15-'Proje girdileri'!AI15-'Ayarlar'!$B$6*'Proje girdileri'!AJ15,"n.a.")</x:f>
        <x:v>373.4999999999999</x:v>
      </x:c>
      <x:c r="K15" s="23" t="n">
        <x:f>IF(ISNUMBER(I15),'Proje girdileri'!AD15+T15*'Proje girdileri'!AK15+I15*('Proje girdileri'!AE15+'Proje girdileri'!AF15+'Proje girdileri'!AG15*U15),"n.a.")</x:f>
        <x:v>56.75</x:v>
      </x:c>
      <x:c r="L15" s="23" t="n">
        <x:f>IF(ISNUMBER(J15),J15-K15*'Ayarlar'!$B$9,"n.a.")</x:f>
        <x:v>-1045.25</x:v>
      </x:c>
      <x:c r="M15" s="23" t="n">
        <x:f>IF(AND(ISNUMBER(K15),'Ayarlar'!$B$6&gt;0),K15/('Ayarlar'!$B$6*52/12),"n.a.")</x:f>
        <x:v>2.1826923076923075</x:v>
      </x:c>
      <x:c r="N15" s="2" t="str">
        <x:f>IF('Proje girdileri'!AI15&lt;='Ayarlar'!$B$8,"Sığar","Aşar")</x:f>
        <x:v>Sığar</x:v>
      </x:c>
      <x:c r="O15" s="2" t="str">
        <x:f>IF(ISNUMBER(F15),IF(F15&lt;=G15,"Sığar","Aşar"),"n.a.")</x:f>
        <x:v>Sığar</x:v>
      </x:c>
      <x:c r="P15" s="2" t="n">
        <x:f>IF(OR(C15="Kapsam/engel",NOT(ISNUMBER(D15))),"n.a.",COUNTIFS($D$5:$D$50,"&gt;"&amp;D15,$C$5:$C$50,"&lt;&gt;Kapsam/engel")+COUNTIFS($D$5:D15,D15,$C$5:C15,"&lt;&gt;Kapsam/engel"))</x:f>
        <x:v>14</x:v>
      </x:c>
      <x:c r="Q15" s="2" t="n">
        <x:f>IF(OR(C15="Kapsam/engel",NOT(ISNUMBER(E15))),"n.a.",COUNTIFS($E$5:$E$50,"&gt;"&amp;E15,$C$5:$C$50,"&lt;&gt;Kapsam/engel")+COUNTIFS($E$5:E15,E15,$C$5:C15,"&lt;&gt;Kapsam/engel"))</x:f>
        <x:v>12</x:v>
      </x:c>
      <x:c r="R15" s="2" t="str">
        <x:f>IF(AND(C15="Geçti",N15="Sığar",O15="Sığar"),COUNTIFS($D$5:$D$50,"&gt;"&amp;D15,$C$5:$C$50,"Geçti",$N$5:$N$50,"Sığar",$O$5:$O$50,"Sığar")+COUNTIFS($D$5:D15,D15,$C$5:C15,"Geçti",$N$5:N15,"Sığar",$O$5:O15,"Sığar"),"n.a.")</x:f>
        <x:v>n.a.</x:v>
      </x:c>
      <x:c r="S15" s="24" t="n">
        <x:f>IF(ISNUMBER(J15),J15-MAX(0,J15)*'Ayarlar'!$B$10,"n.a.")</x:f>
        <x:v>373.4999999999999</x:v>
      </x:c>
      <x:c r="T15" s="2" t="n">
        <x:f>IF('Ayarlar'!$B$7&lt;=0,0,MAX(0,'Ayarlar'!$B$6*52/12-MAX('Proje girdileri'!AC15,ROUNDUP('Proje girdileri'!AD15/'Ayarlar'!$B$7,0))))</x:f>
        <x:v>20</x:v>
      </x:c>
      <x:c r="U15" s="2" t="n">
        <x:f>IF(T15=0,0,IF('Proje girdileri'!C15="recurring",IF(MAX(0,'Ayarlar'!$B$6-IF('Ayarlar'!$B$7&lt;=0,99,ROUNDUP(MAX('Proje girdileri'!AC15,ROUNDUP('Proje girdileri'!AD15/'Ayarlar'!$B$7,0))/(52/12),0)))=0,0,(IF(AND(1&gt;IF('Ayarlar'!$B$7&lt;=0,99,ROUNDUP(MAX('Proje girdileri'!AC15,ROUNDUP('Proje girdileri'!AD15/'Ayarlar'!$B$7,0))/(52/12),0)),1&lt;='Ayarlar'!$B$6),IF('Proje girdileri'!AT15=0,MIN('Proje girdileri'!AH15,'Ayarlar'!$B$6-1+1),(1-POWER(1-'Proje girdileri'!AT15,MIN('Proje girdileri'!AH15,'Ayarlar'!$B$6-1+1)))/'Proje girdileri'!AT15),0)+IF(AND(2&gt;IF('Ayarlar'!$B$7&lt;=0,99,ROUNDUP(MAX('Proje girdileri'!AC15,ROUNDUP('Proje girdileri'!AD15/'Ayarlar'!$B$7,0))/(52/12),0)),2&lt;='Ayarlar'!$B$6),IF('Proje girdileri'!AT15=0,MIN('Proje girdileri'!AH15,'Ayarlar'!$B$6-2+1),(1-POWER(1-'Proje girdileri'!AT15,MIN('Proje girdileri'!AH15,'Ayarlar'!$B$6-2+1)))/'Proje girdileri'!AT15),0)+IF(AND(3&gt;IF('Ayarlar'!$B$7&lt;=0,99,ROUNDUP(MAX('Proje girdileri'!AC15,ROUNDUP('Proje girdileri'!AD15/'Ayarlar'!$B$7,0))/(52/12),0)),3&lt;='Ayarlar'!$B$6),IF('Proje girdileri'!AT15=0,MIN('Proje girdileri'!AH15,'Ayarlar'!$B$6-3+1),(1-POWER(1-'Proje girdileri'!AT15,MIN('Proje girdileri'!AH15,'Ayarlar'!$B$6-3+1)))/'Proje girdileri'!AT15),0)+IF(AND(4&gt;IF('Ayarlar'!$B$7&lt;=0,99,ROUNDUP(MAX('Proje girdileri'!AC15,ROUNDUP('Proje girdileri'!AD15/'Ayarlar'!$B$7,0))/(52/12),0)),4&lt;='Ayarlar'!$B$6),IF('Proje girdileri'!AT15=0,MIN('Proje girdileri'!AH15,'Ayarlar'!$B$6-4+1),(1-POWER(1-'Proje girdileri'!AT15,MIN('Proje girdileri'!AH15,'Ayarlar'!$B$6-4+1)))/'Proje girdileri'!AT15),0)+IF(AND(5&gt;IF('Ayarlar'!$B$7&lt;=0,99,ROUNDUP(MAX('Proje girdileri'!AC15,ROUNDUP('Proje girdileri'!AD15/'Ayarlar'!$B$7,0))/(52/12),0)),5&lt;='Ayarlar'!$B$6),IF('Proje girdileri'!AT15=0,MIN('Proje girdileri'!AH15,'Ayarlar'!$B$6-5+1),(1-POWER(1-'Proje girdileri'!AT15,MIN('Proje girdileri'!AH15,'Ayarlar'!$B$6-5+1)))/'Proje girdileri'!AT15),0)+IF(AND(6&gt;IF('Ayarlar'!$B$7&lt;=0,99,ROUNDUP(MAX('Proje girdileri'!AC15,ROUNDUP('Proje girdileri'!AD15/'Ayarlar'!$B$7,0))/(52/12),0)),6&lt;='Ayarlar'!$B$6),IF('Proje girdileri'!AT15=0,MIN('Proje girdileri'!AH15,'Ayarlar'!$B$6-6+1),(1-POWER(1-'Proje girdileri'!AT15,MIN('Proje girdileri'!AH15,'Ayarlar'!$B$6-6+1)))/'Proje girdileri'!AT15),0)+IF(AND(7&gt;IF('Ayarlar'!$B$7&lt;=0,99,ROUNDUP(MAX('Proje girdileri'!AC15,ROUNDUP('Proje girdileri'!AD15/'Ayarlar'!$B$7,0))/(52/12),0)),7&lt;='Ayarlar'!$B$6),IF('Proje girdileri'!AT15=0,MIN('Proje girdileri'!AH15,'Ayarlar'!$B$6-7+1),(1-POWER(1-'Proje girdileri'!AT15,MIN('Proje girdileri'!AH15,'Ayarlar'!$B$6-7+1)))/'Proje girdileri'!AT15),0)+IF(AND(8&gt;IF('Ayarlar'!$B$7&lt;=0,99,ROUNDUP(MAX('Proje girdileri'!AC15,ROUNDUP('Proje girdileri'!AD15/'Ayarlar'!$B$7,0))/(52/12),0)),8&lt;='Ayarlar'!$B$6),IF('Proje girdileri'!AT15=0,MIN('Proje girdileri'!AH15,'Ayarlar'!$B$6-8+1),(1-POWER(1-'Proje girdileri'!AT15,MIN('Proje girdileri'!AH15,'Ayarlar'!$B$6-8+1)))/'Proje girdileri'!AT15),0)+IF(AND(9&gt;IF('Ayarlar'!$B$7&lt;=0,99,ROUNDUP(MAX('Proje girdileri'!AC15,ROUNDUP('Proje girdileri'!AD15/'Ayarlar'!$B$7,0))/(52/12),0)),9&lt;='Ayarlar'!$B$6),IF('Proje girdileri'!AT15=0,MIN('Proje girdileri'!AH15,'Ayarlar'!$B$6-9+1),(1-POWER(1-'Proje girdileri'!AT15,MIN('Proje girdileri'!AH15,'Ayarlar'!$B$6-9+1)))/'Proje girdileri'!AT15),0)+IF(AND(10&gt;IF('Ayarlar'!$B$7&lt;=0,99,ROUNDUP(MAX('Proje girdileri'!AC15,ROUNDUP('Proje girdileri'!AD15/'Ayarlar'!$B$7,0))/(52/12),0)),10&lt;='Ayarlar'!$B$6),IF('Proje girdileri'!AT15=0,MIN('Proje girdileri'!AH15,'Ayarlar'!$B$6-10+1),(1-POWER(1-'Proje girdileri'!AT15,MIN('Proje girdileri'!AH15,'Ayarlar'!$B$6-10+1)))/'Proje girdileri'!AT15),0)+IF(AND(11&gt;IF('Ayarlar'!$B$7&lt;=0,99,ROUNDUP(MAX('Proje girdileri'!AC15,ROUNDUP('Proje girdileri'!AD15/'Ayarlar'!$B$7,0))/(52/12),0)),11&lt;='Ayarlar'!$B$6),IF('Proje girdileri'!AT15=0,MIN('Proje girdileri'!AH15,'Ayarlar'!$B$6-11+1),(1-POWER(1-'Proje girdileri'!AT15,MIN('Proje girdileri'!AH15,'Ayarlar'!$B$6-11+1)))/'Proje girdileri'!AT15),0)+IF(AND(12&gt;IF('Ayarlar'!$B$7&lt;=0,99,ROUNDUP(MAX('Proje girdileri'!AC15,ROUNDUP('Proje girdileri'!AD15/'Ayarlar'!$B$7,0))/(52/12),0)),12&lt;='Ayarlar'!$B$6),IF('Proje girdileri'!AT15=0,MIN('Proje girdileri'!AH15,'Ayarlar'!$B$6-12+1),(1-POWER(1-'Proje girdileri'!AT15,MIN('Proje girdileri'!AH15,'Ayarlar'!$B$6-12+1)))/'Proje girdileri'!AT15),0))/MAX(0,'Ayarlar'!$B$6-IF('Ayarlar'!$B$7&lt;=0,99,ROUNDUP(MAX('Proje girdileri'!AC15,ROUNDUP('Proje girdileri'!AD15/'Ayarlar'!$B$7,0))/(52/12),0)))),1))</x:f>
        <x:v>1</x:v>
      </x:c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24" customHeight="1">
      <x:c r="A16" s="2" t="str">
        <x:f>'Proje girdileri'!A16</x:f>
        <x:v>Aile-12</x:v>
      </x:c>
      <x:c r="B16" s="2" t="str">
        <x:f>'Proje girdileri'!B16</x:f>
        <x:v>Sunum çıktı hizmeti</x:v>
      </x:c>
      <x:c r="C16" s="2" t="str">
        <x:f>IF(OR(COUNT('Proje girdileri'!D16:H16)&lt;&gt;5,MIN('Proje girdileri'!D16:H16)&lt;0,MAX('Proje girdileri'!D16:H16)&gt;2),"Yalnız deney",IF(MIN('Proje girdileri'!D16:H16)=0,"Kapsam/engel",IF(MIN('Proje girdileri'!D16:H16)=1,"Yalnız deney","Geçti")))</x:f>
        <x:v>Yalnız deney</x:v>
      </x:c>
      <x:c r="D16" s="23" t="n">
        <x:f>IF(AND(COUNT('Proje girdileri'!I16:X16)=16,MIN('Proje girdileri'!I16:X16)&gt;=0,MAX('Proje girdileri'!I16:X16)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girdileri'!I16:X16,'Proje girdileri'!$I$2:$X$2)/5*100,"n.a.")</x:f>
        <x:v>43.800000000000004</x:v>
      </x:c>
      <x:c r="E16" s="23" t="n">
        <x:f>IF(AND(COUNT('Proje girdileri'!I16:X16)=16,MIN('Proje girdileri'!I16:X16)&gt;=0,MAX('Proje girdileri'!I16:X16)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girdileri'!I16:X16,'Proje girdileri'!$I$3:$X$3)/5*100,"n.a.")</x:f>
        <x:v>42.2</x:v>
      </x:c>
      <x:c r="F16" s="2" t="n">
        <x:f>IF(OR(COUNT('Ayarlar'!$B$5:$B$9)&lt;&gt;5,MIN('Ayarlar'!$B$5:$B$7)&lt;=0,MIN('Ayarlar'!$B$8:$B$9)&lt;0,NOT(ISNUMBER(H16)),H16&lt;=0),"n.a.",ROUNDUP(('Ayarlar'!$B$5+'Proje girdileri'!AI16+'Ayarlar'!$B$6*'Proje girdileri'!AJ16)/H16,0))</x:f>
        <x:v>10</x:v>
      </x:c>
      <x:c r="G16" s="2" t="n">
        <x:f>IF(OR('Proje girdileri'!C16="internal",'Proje girdileri'!AE16+'Proje girdileri'!AF16+'Proje girdileri'!AG16*U16&lt;=0),0,MAX(0,ROUNDDOWN((MIN(T16*'Ayarlar'!$B$7,'Ayarlar'!$B$6*52/12*'Ayarlar'!$B$7-'Proje girdileri'!AD16)-T16*'Proje girdileri'!AK16)/('Proje girdileri'!AE16+'Proje girdileri'!AF16+'Proje girdileri'!AG16*U16),0)))</x:f>
        <x:v>9</x:v>
      </x:c>
      <x:c r="H16" s="24" t="n">
        <x:f>IF(COUNT('Proje girdileri'!Y16:AL16)&lt;&gt;14,"n.a.",('Proje girdileri'!Y16*(1-'Proje girdileri'!AA16-'Proje girdileri'!AB16)-'Proje girdileri'!Z16)*U16)</x:f>
        <x:v>353</x:v>
      </x:c>
      <x:c r="I16" s="24" t="n">
        <x:f>IF(ISNUMBER(H16),IF(H16&gt;0,MIN('Proje girdileri'!AL16,G16),0),"n.a.")</x:f>
        <x:v>3</x:v>
      </x:c>
      <x:c r="J16" s="24" t="n">
        <x:f>IF(ISNUMBER(H16),I16*H16-'Proje girdileri'!AI16-'Ayarlar'!$B$6*'Proje girdileri'!AJ16,"n.a.")</x:f>
        <x:v>819</x:v>
      </x:c>
      <x:c r="K16" s="23" t="n">
        <x:f>IF(ISNUMBER(I16),'Proje girdileri'!AD16+T16*'Proje girdileri'!AK16+I16*('Proje girdileri'!AE16+'Proje girdileri'!AF16+'Proje girdileri'!AG16*U16),"n.a.")</x:f>
        <x:v>62.5</x:v>
      </x:c>
      <x:c r="L16" s="23" t="n">
        <x:f>IF(ISNUMBER(J16),J16-K16*'Ayarlar'!$B$9,"n.a.")</x:f>
        <x:v>-743.5</x:v>
      </x:c>
      <x:c r="M16" s="23" t="n">
        <x:f>IF(AND(ISNUMBER(K16),'Ayarlar'!$B$6&gt;0),K16/('Ayarlar'!$B$6*52/12),"n.a.")</x:f>
        <x:v>2.4038461538461537</x:v>
      </x:c>
      <x:c r="N16" s="2" t="str">
        <x:f>IF('Proje girdileri'!AI16&lt;='Ayarlar'!$B$8,"Sığar","Aşar")</x:f>
        <x:v>Sığar</x:v>
      </x:c>
      <x:c r="O16" s="2" t="str">
        <x:f>IF(ISNUMBER(F16),IF(F16&lt;=G16,"Sığar","Aşar"),"n.a.")</x:f>
        <x:v>Aşar</x:v>
      </x:c>
      <x:c r="P16" s="2" t="n">
        <x:f>IF(OR(C16="Kapsam/engel",NOT(ISNUMBER(D16))),"n.a.",COUNTIFS($D$5:$D$50,"&gt;"&amp;D16,$C$5:$C$50,"&lt;&gt;Kapsam/engel")+COUNTIFS($D$5:D16,D16,$C$5:C16,"&lt;&gt;Kapsam/engel"))</x:f>
        <x:v>35</x:v>
      </x:c>
      <x:c r="Q16" s="2" t="n">
        <x:f>IF(OR(C16="Kapsam/engel",NOT(ISNUMBER(E16))),"n.a.",COUNTIFS($E$5:$E$50,"&gt;"&amp;E16,$C$5:$C$50,"&lt;&gt;Kapsam/engel")+COUNTIFS($E$5:E16,E16,$C$5:C16,"&lt;&gt;Kapsam/engel"))</x:f>
        <x:v>35</x:v>
      </x:c>
      <x:c r="R16" s="2" t="str">
        <x:f>IF(AND(C16="Geçti",N16="Sığar",O16="Sığar"),COUNTIFS($D$5:$D$50,"&gt;"&amp;D16,$C$5:$C$50,"Geçti",$N$5:$N$50,"Sığar",$O$5:$O$50,"Sığar")+COUNTIFS($D$5:D16,D16,$C$5:C16,"Geçti",$N$5:N16,"Sığar",$O$5:O16,"Sığar"),"n.a.")</x:f>
        <x:v>n.a.</x:v>
      </x:c>
      <x:c r="S16" s="24" t="n">
        <x:f>IF(ISNUMBER(J16),J16-MAX(0,J16)*'Ayarlar'!$B$10,"n.a.")</x:f>
        <x:v>819</x:v>
      </x:c>
      <x:c r="T16" s="2" t="n">
        <x:f>IF('Ayarlar'!$B$7&lt;=0,0,MAX(0,'Ayarlar'!$B$6*52/12-MAX('Proje girdileri'!AC16,ROUNDUP('Proje girdileri'!AD16/'Ayarlar'!$B$7,0))))</x:f>
        <x:v>22</x:v>
      </x:c>
      <x:c r="U16" s="2" t="n">
        <x:f>IF(T16=0,0,IF('Proje girdileri'!C16="recurring",IF(MAX(0,'Ayarlar'!$B$6-IF('Ayarlar'!$B$7&lt;=0,99,ROUNDUP(MAX('Proje girdileri'!AC16,ROUNDUP('Proje girdileri'!AD16/'Ayarlar'!$B$7,0))/(52/12),0)))=0,0,(IF(AND(1&gt;IF('Ayarlar'!$B$7&lt;=0,99,ROUNDUP(MAX('Proje girdileri'!AC16,ROUNDUP('Proje girdileri'!AD16/'Ayarlar'!$B$7,0))/(52/12),0)),1&lt;='Ayarlar'!$B$6),IF('Proje girdileri'!AT16=0,MIN('Proje girdileri'!AH16,'Ayarlar'!$B$6-1+1),(1-POWER(1-'Proje girdileri'!AT16,MIN('Proje girdileri'!AH16,'Ayarlar'!$B$6-1+1)))/'Proje girdileri'!AT16),0)+IF(AND(2&gt;IF('Ayarlar'!$B$7&lt;=0,99,ROUNDUP(MAX('Proje girdileri'!AC16,ROUNDUP('Proje girdileri'!AD16/'Ayarlar'!$B$7,0))/(52/12),0)),2&lt;='Ayarlar'!$B$6),IF('Proje girdileri'!AT16=0,MIN('Proje girdileri'!AH16,'Ayarlar'!$B$6-2+1),(1-POWER(1-'Proje girdileri'!AT16,MIN('Proje girdileri'!AH16,'Ayarlar'!$B$6-2+1)))/'Proje girdileri'!AT16),0)+IF(AND(3&gt;IF('Ayarlar'!$B$7&lt;=0,99,ROUNDUP(MAX('Proje girdileri'!AC16,ROUNDUP('Proje girdileri'!AD16/'Ayarlar'!$B$7,0))/(52/12),0)),3&lt;='Ayarlar'!$B$6),IF('Proje girdileri'!AT16=0,MIN('Proje girdileri'!AH16,'Ayarlar'!$B$6-3+1),(1-POWER(1-'Proje girdileri'!AT16,MIN('Proje girdileri'!AH16,'Ayarlar'!$B$6-3+1)))/'Proje girdileri'!AT16),0)+IF(AND(4&gt;IF('Ayarlar'!$B$7&lt;=0,99,ROUNDUP(MAX('Proje girdileri'!AC16,ROUNDUP('Proje girdileri'!AD16/'Ayarlar'!$B$7,0))/(52/12),0)),4&lt;='Ayarlar'!$B$6),IF('Proje girdileri'!AT16=0,MIN('Proje girdileri'!AH16,'Ayarlar'!$B$6-4+1),(1-POWER(1-'Proje girdileri'!AT16,MIN('Proje girdileri'!AH16,'Ayarlar'!$B$6-4+1)))/'Proje girdileri'!AT16),0)+IF(AND(5&gt;IF('Ayarlar'!$B$7&lt;=0,99,ROUNDUP(MAX('Proje girdileri'!AC16,ROUNDUP('Proje girdileri'!AD16/'Ayarlar'!$B$7,0))/(52/12),0)),5&lt;='Ayarlar'!$B$6),IF('Proje girdileri'!AT16=0,MIN('Proje girdileri'!AH16,'Ayarlar'!$B$6-5+1),(1-POWER(1-'Proje girdileri'!AT16,MIN('Proje girdileri'!AH16,'Ayarlar'!$B$6-5+1)))/'Proje girdileri'!AT16),0)+IF(AND(6&gt;IF('Ayarlar'!$B$7&lt;=0,99,ROUNDUP(MAX('Proje girdileri'!AC16,ROUNDUP('Proje girdileri'!AD16/'Ayarlar'!$B$7,0))/(52/12),0)),6&lt;='Ayarlar'!$B$6),IF('Proje girdileri'!AT16=0,MIN('Proje girdileri'!AH16,'Ayarlar'!$B$6-6+1),(1-POWER(1-'Proje girdileri'!AT16,MIN('Proje girdileri'!AH16,'Ayarlar'!$B$6-6+1)))/'Proje girdileri'!AT16),0)+IF(AND(7&gt;IF('Ayarlar'!$B$7&lt;=0,99,ROUNDUP(MAX('Proje girdileri'!AC16,ROUNDUP('Proje girdileri'!AD16/'Ayarlar'!$B$7,0))/(52/12),0)),7&lt;='Ayarlar'!$B$6),IF('Proje girdileri'!AT16=0,MIN('Proje girdileri'!AH16,'Ayarlar'!$B$6-7+1),(1-POWER(1-'Proje girdileri'!AT16,MIN('Proje girdileri'!AH16,'Ayarlar'!$B$6-7+1)))/'Proje girdileri'!AT16),0)+IF(AND(8&gt;IF('Ayarlar'!$B$7&lt;=0,99,ROUNDUP(MAX('Proje girdileri'!AC16,ROUNDUP('Proje girdileri'!AD16/'Ayarlar'!$B$7,0))/(52/12),0)),8&lt;='Ayarlar'!$B$6),IF('Proje girdileri'!AT16=0,MIN('Proje girdileri'!AH16,'Ayarlar'!$B$6-8+1),(1-POWER(1-'Proje girdileri'!AT16,MIN('Proje girdileri'!AH16,'Ayarlar'!$B$6-8+1)))/'Proje girdileri'!AT16),0)+IF(AND(9&gt;IF('Ayarlar'!$B$7&lt;=0,99,ROUNDUP(MAX('Proje girdileri'!AC16,ROUNDUP('Proje girdileri'!AD16/'Ayarlar'!$B$7,0))/(52/12),0)),9&lt;='Ayarlar'!$B$6),IF('Proje girdileri'!AT16=0,MIN('Proje girdileri'!AH16,'Ayarlar'!$B$6-9+1),(1-POWER(1-'Proje girdileri'!AT16,MIN('Proje girdileri'!AH16,'Ayarlar'!$B$6-9+1)))/'Proje girdileri'!AT16),0)+IF(AND(10&gt;IF('Ayarlar'!$B$7&lt;=0,99,ROUNDUP(MAX('Proje girdileri'!AC16,ROUNDUP('Proje girdileri'!AD16/'Ayarlar'!$B$7,0))/(52/12),0)),10&lt;='Ayarlar'!$B$6),IF('Proje girdileri'!AT16=0,MIN('Proje girdileri'!AH16,'Ayarlar'!$B$6-10+1),(1-POWER(1-'Proje girdileri'!AT16,MIN('Proje girdileri'!AH16,'Ayarlar'!$B$6-10+1)))/'Proje girdileri'!AT16),0)+IF(AND(11&gt;IF('Ayarlar'!$B$7&lt;=0,99,ROUNDUP(MAX('Proje girdileri'!AC16,ROUNDUP('Proje girdileri'!AD16/'Ayarlar'!$B$7,0))/(52/12),0)),11&lt;='Ayarlar'!$B$6),IF('Proje girdileri'!AT16=0,MIN('Proje girdileri'!AH16,'Ayarlar'!$B$6-11+1),(1-POWER(1-'Proje girdileri'!AT16,MIN('Proje girdileri'!AH16,'Ayarlar'!$B$6-11+1)))/'Proje girdileri'!AT16),0)+IF(AND(12&gt;IF('Ayarlar'!$B$7&lt;=0,99,ROUNDUP(MAX('Proje girdileri'!AC16,ROUNDUP('Proje girdileri'!AD16/'Ayarlar'!$B$7,0))/(52/12),0)),12&lt;='Ayarlar'!$B$6),IF('Proje girdileri'!AT16=0,MIN('Proje girdileri'!AH16,'Ayarlar'!$B$6-12+1),(1-POWER(1-'Proje girdileri'!AT16,MIN('Proje girdileri'!AH16,'Ayarlar'!$B$6-12+1)))/'Proje girdileri'!AT16),0))/MAX(0,'Ayarlar'!$B$6-IF('Ayarlar'!$B$7&lt;=0,99,ROUNDUP(MAX('Proje girdileri'!AC16,ROUNDUP('Proje girdileri'!AD16/'Ayarlar'!$B$7,0))/(52/12),0)))),1))</x:f>
        <x:v>1</x:v>
      </x:c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24" customHeight="1">
      <x:c r="A17" s="2" t="str">
        <x:f>'Proje girdileri'!A17</x:f>
        <x:v>Aile-13</x:v>
      </x:c>
      <x:c r="B17" s="2" t="str">
        <x:f>'Proje girdileri'!B17</x:f>
        <x:v>CronHR demo kiti</x:v>
      </x:c>
      <x:c r="C17" s="2" t="str">
        <x:f>IF(OR(COUNT('Proje girdileri'!D17:H17)&lt;&gt;5,MIN('Proje girdileri'!D17:H17)&lt;0,MAX('Proje girdileri'!D17:H17)&gt;2),"Yalnız deney",IF(MIN('Proje girdileri'!D17:H17)=0,"Kapsam/engel",IF(MIN('Proje girdileri'!D17:H17)=1,"Yalnız deney","Geçti")))</x:f>
        <x:v>Yalnız deney</x:v>
      </x:c>
      <x:c r="D17" s="23" t="n">
        <x:f>IF(AND(COUNT('Proje girdileri'!I17:X17)=16,MIN('Proje girdileri'!I17:X17)&gt;=0,MAX('Proje girdileri'!I17:X17)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girdileri'!I17:X17,'Proje girdileri'!$I$2:$X$2)/5*100,"n.a.")</x:f>
        <x:v>47.600000000000016</x:v>
      </x:c>
      <x:c r="E17" s="23" t="n">
        <x:f>IF(AND(COUNT('Proje girdileri'!I17:X17)=16,MIN('Proje girdileri'!I17:X17)&gt;=0,MAX('Proje girdileri'!I17:X17)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girdileri'!I17:X17,'Proje girdileri'!$I$3:$X$3)/5*100,"n.a.")</x:f>
        <x:v>45.7</x:v>
      </x:c>
      <x:c r="F17" s="2" t="n">
        <x:f>IF(OR(COUNT('Ayarlar'!$B$5:$B$9)&lt;&gt;5,MIN('Ayarlar'!$B$5:$B$7)&lt;=0,MIN('Ayarlar'!$B$8:$B$9)&lt;0,NOT(ISNUMBER(H17)),H17&lt;=0),"n.a.",ROUNDUP(('Ayarlar'!$B$5+'Proje girdileri'!AI17+'Ayarlar'!$B$6*'Proje girdileri'!AJ17)/H17,0))</x:f>
        <x:v>3</x:v>
      </x:c>
      <x:c r="G17" s="2" t="n">
        <x:f>IF(OR('Proje girdileri'!C17="internal",'Proje girdileri'!AE17+'Proje girdileri'!AF17+'Proje girdileri'!AG17*U17&lt;=0),0,MAX(0,ROUNDDOWN((MIN(T17*'Ayarlar'!$B$7,'Ayarlar'!$B$6*52/12*'Ayarlar'!$B$7-'Proje girdileri'!AD17)-T17*'Proje girdileri'!AK17)/('Proje girdileri'!AE17+'Proje girdileri'!AF17+'Proje girdileri'!AG17*U17),0)))</x:f>
        <x:v>2</x:v>
      </x:c>
      <x:c r="H17" s="24" t="n">
        <x:f>IF(COUNT('Proje girdileri'!Y17:AL17)&lt;&gt;14,"n.a.",('Proje girdileri'!Y17*(1-'Proje girdileri'!AA17-'Proje girdileri'!AB17)-'Proje girdileri'!Z17)*U17)</x:f>
        <x:v>1216</x:v>
      </x:c>
      <x:c r="I17" s="24" t="n">
        <x:f>IF(ISNUMBER(H17),IF(H17&gt;0,MIN('Proje girdileri'!AL17,G17),0),"n.a.")</x:f>
        <x:v>2</x:v>
      </x:c>
      <x:c r="J17" s="24" t="n">
        <x:f>IF(ISNUMBER(H17),I17*H17-'Proje girdileri'!AI17-'Ayarlar'!$B$6*'Proje girdileri'!AJ17,"n.a.")</x:f>
        <x:v>2192</x:v>
      </x:c>
      <x:c r="K17" s="23" t="n">
        <x:f>IF(ISNUMBER(I17),'Proje girdileri'!AD17+T17*'Proje girdileri'!AK17+I17*('Proje girdileri'!AE17+'Proje girdileri'!AF17+'Proje girdileri'!AG17*U17),"n.a.")</x:f>
        <x:v>103</x:v>
      </x:c>
      <x:c r="L17" s="23" t="n">
        <x:f>IF(ISNUMBER(J17),J17-K17*'Ayarlar'!$B$9,"n.a.")</x:f>
        <x:v>-383</x:v>
      </x:c>
      <x:c r="M17" s="23" t="n">
        <x:f>IF(AND(ISNUMBER(K17),'Ayarlar'!$B$6&gt;0),K17/('Ayarlar'!$B$6*52/12),"n.a.")</x:f>
        <x:v>3.9615384615384617</x:v>
      </x:c>
      <x:c r="N17" s="2" t="str">
        <x:f>IF('Proje girdileri'!AI17&lt;='Ayarlar'!$B$8,"Sığar","Aşar")</x:f>
        <x:v>Sığar</x:v>
      </x:c>
      <x:c r="O17" s="2" t="str">
        <x:f>IF(ISNUMBER(F17),IF(F17&lt;=G17,"Sığar","Aşar"),"n.a.")</x:f>
        <x:v>Aşar</x:v>
      </x:c>
      <x:c r="P17" s="2" t="n">
        <x:f>IF(OR(C17="Kapsam/engel",NOT(ISNUMBER(D17))),"n.a.",COUNTIFS($D$5:$D$50,"&gt;"&amp;D17,$C$5:$C$50,"&lt;&gt;Kapsam/engel")+COUNTIFS($D$5:D17,D17,$C$5:C17,"&lt;&gt;Kapsam/engel"))</x:f>
        <x:v>21</x:v>
      </x:c>
      <x:c r="Q17" s="2" t="n">
        <x:f>IF(OR(C17="Kapsam/engel",NOT(ISNUMBER(E17))),"n.a.",COUNTIFS($E$5:$E$50,"&gt;"&amp;E17,$C$5:$C$50,"&lt;&gt;Kapsam/engel")+COUNTIFS($E$5:E17,E17,$C$5:C17,"&lt;&gt;Kapsam/engel"))</x:f>
        <x:v>23</x:v>
      </x:c>
      <x:c r="R17" s="2" t="str">
        <x:f>IF(AND(C17="Geçti",N17="Sığar",O17="Sığar"),COUNTIFS($D$5:$D$50,"&gt;"&amp;D17,$C$5:$C$50,"Geçti",$N$5:$N$50,"Sığar",$O$5:$O$50,"Sığar")+COUNTIFS($D$5:D17,D17,$C$5:C17,"Geçti",$N$5:N17,"Sığar",$O$5:O17,"Sığar"),"n.a.")</x:f>
        <x:v>n.a.</x:v>
      </x:c>
      <x:c r="S17" s="24" t="n">
        <x:f>IF(ISNUMBER(J17),J17-MAX(0,J17)*'Ayarlar'!$B$10,"n.a.")</x:f>
        <x:v>2192</x:v>
      </x:c>
      <x:c r="T17" s="2" t="n">
        <x:f>IF('Ayarlar'!$B$7&lt;=0,0,MAX(0,'Ayarlar'!$B$6*52/12-MAX('Proje girdileri'!AC17,ROUNDUP('Proje girdileri'!AD17/'Ayarlar'!$B$7,0))))</x:f>
        <x:v>20</x:v>
      </x:c>
      <x:c r="U17" s="2" t="n">
        <x:f>IF(T17=0,0,IF('Proje girdileri'!C17="recurring",IF(MAX(0,'Ayarlar'!$B$6-IF('Ayarlar'!$B$7&lt;=0,99,ROUNDUP(MAX('Proje girdileri'!AC17,ROUNDUP('Proje girdileri'!AD17/'Ayarlar'!$B$7,0))/(52/12),0)))=0,0,(IF(AND(1&gt;IF('Ayarlar'!$B$7&lt;=0,99,ROUNDUP(MAX('Proje girdileri'!AC17,ROUNDUP('Proje girdileri'!AD17/'Ayarlar'!$B$7,0))/(52/12),0)),1&lt;='Ayarlar'!$B$6),IF('Proje girdileri'!AT17=0,MIN('Proje girdileri'!AH17,'Ayarlar'!$B$6-1+1),(1-POWER(1-'Proje girdileri'!AT17,MIN('Proje girdileri'!AH17,'Ayarlar'!$B$6-1+1)))/'Proje girdileri'!AT17),0)+IF(AND(2&gt;IF('Ayarlar'!$B$7&lt;=0,99,ROUNDUP(MAX('Proje girdileri'!AC17,ROUNDUP('Proje girdileri'!AD17/'Ayarlar'!$B$7,0))/(52/12),0)),2&lt;='Ayarlar'!$B$6),IF('Proje girdileri'!AT17=0,MIN('Proje girdileri'!AH17,'Ayarlar'!$B$6-2+1),(1-POWER(1-'Proje girdileri'!AT17,MIN('Proje girdileri'!AH17,'Ayarlar'!$B$6-2+1)))/'Proje girdileri'!AT17),0)+IF(AND(3&gt;IF('Ayarlar'!$B$7&lt;=0,99,ROUNDUP(MAX('Proje girdileri'!AC17,ROUNDUP('Proje girdileri'!AD17/'Ayarlar'!$B$7,0))/(52/12),0)),3&lt;='Ayarlar'!$B$6),IF('Proje girdileri'!AT17=0,MIN('Proje girdileri'!AH17,'Ayarlar'!$B$6-3+1),(1-POWER(1-'Proje girdileri'!AT17,MIN('Proje girdileri'!AH17,'Ayarlar'!$B$6-3+1)))/'Proje girdileri'!AT17),0)+IF(AND(4&gt;IF('Ayarlar'!$B$7&lt;=0,99,ROUNDUP(MAX('Proje girdileri'!AC17,ROUNDUP('Proje girdileri'!AD17/'Ayarlar'!$B$7,0))/(52/12),0)),4&lt;='Ayarlar'!$B$6),IF('Proje girdileri'!AT17=0,MIN('Proje girdileri'!AH17,'Ayarlar'!$B$6-4+1),(1-POWER(1-'Proje girdileri'!AT17,MIN('Proje girdileri'!AH17,'Ayarlar'!$B$6-4+1)))/'Proje girdileri'!AT17),0)+IF(AND(5&gt;IF('Ayarlar'!$B$7&lt;=0,99,ROUNDUP(MAX('Proje girdileri'!AC17,ROUNDUP('Proje girdileri'!AD17/'Ayarlar'!$B$7,0))/(52/12),0)),5&lt;='Ayarlar'!$B$6),IF('Proje girdileri'!AT17=0,MIN('Proje girdileri'!AH17,'Ayarlar'!$B$6-5+1),(1-POWER(1-'Proje girdileri'!AT17,MIN('Proje girdileri'!AH17,'Ayarlar'!$B$6-5+1)))/'Proje girdileri'!AT17),0)+IF(AND(6&gt;IF('Ayarlar'!$B$7&lt;=0,99,ROUNDUP(MAX('Proje girdileri'!AC17,ROUNDUP('Proje girdileri'!AD17/'Ayarlar'!$B$7,0))/(52/12),0)),6&lt;='Ayarlar'!$B$6),IF('Proje girdileri'!AT17=0,MIN('Proje girdileri'!AH17,'Ayarlar'!$B$6-6+1),(1-POWER(1-'Proje girdileri'!AT17,MIN('Proje girdileri'!AH17,'Ayarlar'!$B$6-6+1)))/'Proje girdileri'!AT17),0)+IF(AND(7&gt;IF('Ayarlar'!$B$7&lt;=0,99,ROUNDUP(MAX('Proje girdileri'!AC17,ROUNDUP('Proje girdileri'!AD17/'Ayarlar'!$B$7,0))/(52/12),0)),7&lt;='Ayarlar'!$B$6),IF('Proje girdileri'!AT17=0,MIN('Proje girdileri'!AH17,'Ayarlar'!$B$6-7+1),(1-POWER(1-'Proje girdileri'!AT17,MIN('Proje girdileri'!AH17,'Ayarlar'!$B$6-7+1)))/'Proje girdileri'!AT17),0)+IF(AND(8&gt;IF('Ayarlar'!$B$7&lt;=0,99,ROUNDUP(MAX('Proje girdileri'!AC17,ROUNDUP('Proje girdileri'!AD17/'Ayarlar'!$B$7,0))/(52/12),0)),8&lt;='Ayarlar'!$B$6),IF('Proje girdileri'!AT17=0,MIN('Proje girdileri'!AH17,'Ayarlar'!$B$6-8+1),(1-POWER(1-'Proje girdileri'!AT17,MIN('Proje girdileri'!AH17,'Ayarlar'!$B$6-8+1)))/'Proje girdileri'!AT17),0)+IF(AND(9&gt;IF('Ayarlar'!$B$7&lt;=0,99,ROUNDUP(MAX('Proje girdileri'!AC17,ROUNDUP('Proje girdileri'!AD17/'Ayarlar'!$B$7,0))/(52/12),0)),9&lt;='Ayarlar'!$B$6),IF('Proje girdileri'!AT17=0,MIN('Proje girdileri'!AH17,'Ayarlar'!$B$6-9+1),(1-POWER(1-'Proje girdileri'!AT17,MIN('Proje girdileri'!AH17,'Ayarlar'!$B$6-9+1)))/'Proje girdileri'!AT17),0)+IF(AND(10&gt;IF('Ayarlar'!$B$7&lt;=0,99,ROUNDUP(MAX('Proje girdileri'!AC17,ROUNDUP('Proje girdileri'!AD17/'Ayarlar'!$B$7,0))/(52/12),0)),10&lt;='Ayarlar'!$B$6),IF('Proje girdileri'!AT17=0,MIN('Proje girdileri'!AH17,'Ayarlar'!$B$6-10+1),(1-POWER(1-'Proje girdileri'!AT17,MIN('Proje girdileri'!AH17,'Ayarlar'!$B$6-10+1)))/'Proje girdileri'!AT17),0)+IF(AND(11&gt;IF('Ayarlar'!$B$7&lt;=0,99,ROUNDUP(MAX('Proje girdileri'!AC17,ROUNDUP('Proje girdileri'!AD17/'Ayarlar'!$B$7,0))/(52/12),0)),11&lt;='Ayarlar'!$B$6),IF('Proje girdileri'!AT17=0,MIN('Proje girdileri'!AH17,'Ayarlar'!$B$6-11+1),(1-POWER(1-'Proje girdileri'!AT17,MIN('Proje girdileri'!AH17,'Ayarlar'!$B$6-11+1)))/'Proje girdileri'!AT17),0)+IF(AND(12&gt;IF('Ayarlar'!$B$7&lt;=0,99,ROUNDUP(MAX('Proje girdileri'!AC17,ROUNDUP('Proje girdileri'!AD17/'Ayarlar'!$B$7,0))/(52/12),0)),12&lt;='Ayarlar'!$B$6),IF('Proje girdileri'!AT17=0,MIN('Proje girdileri'!AH17,'Ayarlar'!$B$6-12+1),(1-POWER(1-'Proje girdileri'!AT17,MIN('Proje girdileri'!AH17,'Ayarlar'!$B$6-12+1)))/'Proje girdileri'!AT17),0))/MAX(0,'Ayarlar'!$B$6-IF('Ayarlar'!$B$7&lt;=0,99,ROUNDUP(MAX('Proje girdileri'!AC17,ROUNDUP('Proje girdileri'!AD17/'Ayarlar'!$B$7,0))/(52/12),0)))),1))</x:f>
        <x:v>1</x:v>
      </x:c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24" customHeight="1">
      <x:c r="A18" s="2" t="str">
        <x:f>'Proje girdileri'!A18</x:f>
        <x:v>Aile-14</x:v>
      </x:c>
      <x:c r="B18" s="2" t="str">
        <x:f>'Proje girdileri'!B18</x:f>
        <x:v>Zincir operasyon hizmeti</x:v>
      </x:c>
      <x:c r="C18" s="2" t="str">
        <x:f>IF(OR(COUNT('Proje girdileri'!D18:H18)&lt;&gt;5,MIN('Proje girdileri'!D18:H18)&lt;0,MAX('Proje girdileri'!D18:H18)&gt;2),"Yalnız deney",IF(MIN('Proje girdileri'!D18:H18)=0,"Kapsam/engel",IF(MIN('Proje girdileri'!D18:H18)=1,"Yalnız deney","Geçti")))</x:f>
        <x:v>Yalnız deney</x:v>
      </x:c>
      <x:c r="D18" s="23" t="n">
        <x:f>IF(AND(COUNT('Proje girdileri'!I18:X18)=16,MIN('Proje girdileri'!I18:X18)&gt;=0,MAX('Proje girdileri'!I18:X18)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girdileri'!I18:X18,'Proje girdileri'!$I$2:$X$2)/5*100,"n.a.")</x:f>
        <x:v>40.800000000000004</x:v>
      </x:c>
      <x:c r="E18" s="23" t="n">
        <x:f>IF(AND(COUNT('Proje girdileri'!I18:X18)=16,MIN('Proje girdileri'!I18:X18)&gt;=0,MAX('Proje girdileri'!I18:X18)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girdileri'!I18:X18,'Proje girdileri'!$I$3:$X$3)/5*100,"n.a.")</x:f>
        <x:v>38.2</x:v>
      </x:c>
      <x:c r="F18" s="2" t="n">
        <x:f>IF(OR(COUNT('Ayarlar'!$B$5:$B$9)&lt;&gt;5,MIN('Ayarlar'!$B$5:$B$7)&lt;=0,MIN('Ayarlar'!$B$8:$B$9)&lt;0,NOT(ISNUMBER(H18)),H18&lt;=0),"n.a.",ROUNDUP(('Ayarlar'!$B$5+'Proje girdileri'!AI18+'Ayarlar'!$B$6*'Proje girdileri'!AJ18)/H18,0))</x:f>
        <x:v>2</x:v>
      </x:c>
      <x:c r="G18" s="2" t="n">
        <x:f>IF(OR('Proje girdileri'!C18="internal",'Proje girdileri'!AE18+'Proje girdileri'!AF18+'Proje girdileri'!AG18*U18&lt;=0),0,MAX(0,ROUNDDOWN((MIN(T18*'Ayarlar'!$B$7,'Ayarlar'!$B$6*52/12*'Ayarlar'!$B$7-'Proje girdileri'!AD18)-T18*'Proje girdileri'!AK18)/('Proje girdileri'!AE18+'Proje girdileri'!AF18+'Proje girdileri'!AG18*U18),0)))</x:f>
        <x:v>1</x:v>
      </x:c>
      <x:c r="H18" s="24" t="n">
        <x:f>IF(COUNT('Proje girdileri'!Y18:AL18)&lt;&gt;14,"n.a.",('Proje girdileri'!Y18*(1-'Proje girdileri'!AA18-'Proje girdileri'!AB18)-'Proje girdileri'!Z18)*U18)</x:f>
        <x:v>2250</x:v>
      </x:c>
      <x:c r="I18" s="24" t="n">
        <x:f>IF(ISNUMBER(H18),IF(H18&gt;0,MIN('Proje girdileri'!AL18,G18),0),"n.a.")</x:f>
        <x:v>1</x:v>
      </x:c>
      <x:c r="J18" s="24" t="n">
        <x:f>IF(ISNUMBER(H18),I18*H18-'Proje girdileri'!AI18-'Ayarlar'!$B$6*'Proje girdileri'!AJ18,"n.a.")</x:f>
        <x:v>2010</x:v>
      </x:c>
      <x:c r="K18" s="23" t="n">
        <x:f>IF(ISNUMBER(I18),'Proje girdileri'!AD18+T18*'Proje girdileri'!AK18+I18*('Proje girdileri'!AE18+'Proje girdileri'!AF18+'Proje girdileri'!AG18*U18),"n.a.")</x:f>
        <x:v>109.5</x:v>
      </x:c>
      <x:c r="L18" s="23" t="n">
        <x:f>IF(ISNUMBER(J18),J18-K18*'Ayarlar'!$B$9,"n.a.")</x:f>
        <x:v>-727.5</x:v>
      </x:c>
      <x:c r="M18" s="23" t="n">
        <x:f>IF(AND(ISNUMBER(K18),'Ayarlar'!$B$6&gt;0),K18/('Ayarlar'!$B$6*52/12),"n.a.")</x:f>
        <x:v>4.211538461538462</x:v>
      </x:c>
      <x:c r="N18" s="2" t="str">
        <x:f>IF('Proje girdileri'!AI18&lt;='Ayarlar'!$B$8,"Sığar","Aşar")</x:f>
        <x:v>Sığar</x:v>
      </x:c>
      <x:c r="O18" s="2" t="str">
        <x:f>IF(ISNUMBER(F18),IF(F18&lt;=G18,"Sığar","Aşar"),"n.a.")</x:f>
        <x:v>Aşar</x:v>
      </x:c>
      <x:c r="P18" s="2" t="n">
        <x:f>IF(OR(C18="Kapsam/engel",NOT(ISNUMBER(D18))),"n.a.",COUNTIFS($D$5:$D$50,"&gt;"&amp;D18,$C$5:$C$50,"&lt;&gt;Kapsam/engel")+COUNTIFS($D$5:D18,D18,$C$5:C18,"&lt;&gt;Kapsam/engel"))</x:f>
        <x:v>37</x:v>
      </x:c>
      <x:c r="Q18" s="2" t="n">
        <x:f>IF(OR(C18="Kapsam/engel",NOT(ISNUMBER(E18))),"n.a.",COUNTIFS($E$5:$E$50,"&gt;"&amp;E18,$C$5:$C$50,"&lt;&gt;Kapsam/engel")+COUNTIFS($E$5:E18,E18,$C$5:C18,"&lt;&gt;Kapsam/engel"))</x:f>
        <x:v>37</x:v>
      </x:c>
      <x:c r="R18" s="2" t="str">
        <x:f>IF(AND(C18="Geçti",N18="Sığar",O18="Sığar"),COUNTIFS($D$5:$D$50,"&gt;"&amp;D18,$C$5:$C$50,"Geçti",$N$5:$N$50,"Sığar",$O$5:$O$50,"Sığar")+COUNTIFS($D$5:D18,D18,$C$5:C18,"Geçti",$N$5:N18,"Sığar",$O$5:O18,"Sığar"),"n.a.")</x:f>
        <x:v>n.a.</x:v>
      </x:c>
      <x:c r="S18" s="24" t="n">
        <x:f>IF(ISNUMBER(J18),J18-MAX(0,J18)*'Ayarlar'!$B$10,"n.a.")</x:f>
        <x:v>2010</x:v>
      </x:c>
      <x:c r="T18" s="2" t="n">
        <x:f>IF('Ayarlar'!$B$7&lt;=0,0,MAX(0,'Ayarlar'!$B$6*52/12-MAX('Proje girdileri'!AC18,ROUNDUP('Proje girdileri'!AD18/'Ayarlar'!$B$7,0))))</x:f>
        <x:v>22</x:v>
      </x:c>
      <x:c r="U18" s="2" t="n">
        <x:f>IF(T18=0,0,IF('Proje girdileri'!C18="recurring",IF(MAX(0,'Ayarlar'!$B$6-IF('Ayarlar'!$B$7&lt;=0,99,ROUNDUP(MAX('Proje girdileri'!AC18,ROUNDUP('Proje girdileri'!AD18/'Ayarlar'!$B$7,0))/(52/12),0)))=0,0,(IF(AND(1&gt;IF('Ayarlar'!$B$7&lt;=0,99,ROUNDUP(MAX('Proje girdileri'!AC18,ROUNDUP('Proje girdileri'!AD18/'Ayarlar'!$B$7,0))/(52/12),0)),1&lt;='Ayarlar'!$B$6),IF('Proje girdileri'!AT18=0,MIN('Proje girdileri'!AH18,'Ayarlar'!$B$6-1+1),(1-POWER(1-'Proje girdileri'!AT18,MIN('Proje girdileri'!AH18,'Ayarlar'!$B$6-1+1)))/'Proje girdileri'!AT18),0)+IF(AND(2&gt;IF('Ayarlar'!$B$7&lt;=0,99,ROUNDUP(MAX('Proje girdileri'!AC18,ROUNDUP('Proje girdileri'!AD18/'Ayarlar'!$B$7,0))/(52/12),0)),2&lt;='Ayarlar'!$B$6),IF('Proje girdileri'!AT18=0,MIN('Proje girdileri'!AH18,'Ayarlar'!$B$6-2+1),(1-POWER(1-'Proje girdileri'!AT18,MIN('Proje girdileri'!AH18,'Ayarlar'!$B$6-2+1)))/'Proje girdileri'!AT18),0)+IF(AND(3&gt;IF('Ayarlar'!$B$7&lt;=0,99,ROUNDUP(MAX('Proje girdileri'!AC18,ROUNDUP('Proje girdileri'!AD18/'Ayarlar'!$B$7,0))/(52/12),0)),3&lt;='Ayarlar'!$B$6),IF('Proje girdileri'!AT18=0,MIN('Proje girdileri'!AH18,'Ayarlar'!$B$6-3+1),(1-POWER(1-'Proje girdileri'!AT18,MIN('Proje girdileri'!AH18,'Ayarlar'!$B$6-3+1)))/'Proje girdileri'!AT18),0)+IF(AND(4&gt;IF('Ayarlar'!$B$7&lt;=0,99,ROUNDUP(MAX('Proje girdileri'!AC18,ROUNDUP('Proje girdileri'!AD18/'Ayarlar'!$B$7,0))/(52/12),0)),4&lt;='Ayarlar'!$B$6),IF('Proje girdileri'!AT18=0,MIN('Proje girdileri'!AH18,'Ayarlar'!$B$6-4+1),(1-POWER(1-'Proje girdileri'!AT18,MIN('Proje girdileri'!AH18,'Ayarlar'!$B$6-4+1)))/'Proje girdileri'!AT18),0)+IF(AND(5&gt;IF('Ayarlar'!$B$7&lt;=0,99,ROUNDUP(MAX('Proje girdileri'!AC18,ROUNDUP('Proje girdileri'!AD18/'Ayarlar'!$B$7,0))/(52/12),0)),5&lt;='Ayarlar'!$B$6),IF('Proje girdileri'!AT18=0,MIN('Proje girdileri'!AH18,'Ayarlar'!$B$6-5+1),(1-POWER(1-'Proje girdileri'!AT18,MIN('Proje girdileri'!AH18,'Ayarlar'!$B$6-5+1)))/'Proje girdileri'!AT18),0)+IF(AND(6&gt;IF('Ayarlar'!$B$7&lt;=0,99,ROUNDUP(MAX('Proje girdileri'!AC18,ROUNDUP('Proje girdileri'!AD18/'Ayarlar'!$B$7,0))/(52/12),0)),6&lt;='Ayarlar'!$B$6),IF('Proje girdileri'!AT18=0,MIN('Proje girdileri'!AH18,'Ayarlar'!$B$6-6+1),(1-POWER(1-'Proje girdileri'!AT18,MIN('Proje girdileri'!AH18,'Ayarlar'!$B$6-6+1)))/'Proje girdileri'!AT18),0)+IF(AND(7&gt;IF('Ayarlar'!$B$7&lt;=0,99,ROUNDUP(MAX('Proje girdileri'!AC18,ROUNDUP('Proje girdileri'!AD18/'Ayarlar'!$B$7,0))/(52/12),0)),7&lt;='Ayarlar'!$B$6),IF('Proje girdileri'!AT18=0,MIN('Proje girdileri'!AH18,'Ayarlar'!$B$6-7+1),(1-POWER(1-'Proje girdileri'!AT18,MIN('Proje girdileri'!AH18,'Ayarlar'!$B$6-7+1)))/'Proje girdileri'!AT18),0)+IF(AND(8&gt;IF('Ayarlar'!$B$7&lt;=0,99,ROUNDUP(MAX('Proje girdileri'!AC18,ROUNDUP('Proje girdileri'!AD18/'Ayarlar'!$B$7,0))/(52/12),0)),8&lt;='Ayarlar'!$B$6),IF('Proje girdileri'!AT18=0,MIN('Proje girdileri'!AH18,'Ayarlar'!$B$6-8+1),(1-POWER(1-'Proje girdileri'!AT18,MIN('Proje girdileri'!AH18,'Ayarlar'!$B$6-8+1)))/'Proje girdileri'!AT18),0)+IF(AND(9&gt;IF('Ayarlar'!$B$7&lt;=0,99,ROUNDUP(MAX('Proje girdileri'!AC18,ROUNDUP('Proje girdileri'!AD18/'Ayarlar'!$B$7,0))/(52/12),0)),9&lt;='Ayarlar'!$B$6),IF('Proje girdileri'!AT18=0,MIN('Proje girdileri'!AH18,'Ayarlar'!$B$6-9+1),(1-POWER(1-'Proje girdileri'!AT18,MIN('Proje girdileri'!AH18,'Ayarlar'!$B$6-9+1)))/'Proje girdileri'!AT18),0)+IF(AND(10&gt;IF('Ayarlar'!$B$7&lt;=0,99,ROUNDUP(MAX('Proje girdileri'!AC18,ROUNDUP('Proje girdileri'!AD18/'Ayarlar'!$B$7,0))/(52/12),0)),10&lt;='Ayarlar'!$B$6),IF('Proje girdileri'!AT18=0,MIN('Proje girdileri'!AH18,'Ayarlar'!$B$6-10+1),(1-POWER(1-'Proje girdileri'!AT18,MIN('Proje girdileri'!AH18,'Ayarlar'!$B$6-10+1)))/'Proje girdileri'!AT18),0)+IF(AND(11&gt;IF('Ayarlar'!$B$7&lt;=0,99,ROUNDUP(MAX('Proje girdileri'!AC18,ROUNDUP('Proje girdileri'!AD18/'Ayarlar'!$B$7,0))/(52/12),0)),11&lt;='Ayarlar'!$B$6),IF('Proje girdileri'!AT18=0,MIN('Proje girdileri'!AH18,'Ayarlar'!$B$6-11+1),(1-POWER(1-'Proje girdileri'!AT18,MIN('Proje girdileri'!AH18,'Ayarlar'!$B$6-11+1)))/'Proje girdileri'!AT18),0)+IF(AND(12&gt;IF('Ayarlar'!$B$7&lt;=0,99,ROUNDUP(MAX('Proje girdileri'!AC18,ROUNDUP('Proje girdileri'!AD18/'Ayarlar'!$B$7,0))/(52/12),0)),12&lt;='Ayarlar'!$B$6),IF('Proje girdileri'!AT18=0,MIN('Proje girdileri'!AH18,'Ayarlar'!$B$6-12+1),(1-POWER(1-'Proje girdileri'!AT18,MIN('Proje girdileri'!AH18,'Ayarlar'!$B$6-12+1)))/'Proje girdileri'!AT18),0))/MAX(0,'Ayarlar'!$B$6-IF('Ayarlar'!$B$7&lt;=0,99,ROUNDUP(MAX('Proje girdileri'!AC18,ROUNDUP('Proje girdileri'!AD18/'Ayarlar'!$B$7,0))/(52/12),0)))),1))</x:f>
        <x:v>1</x:v>
      </x:c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24" customHeight="1">
      <x:c r="A19" s="2" t="str">
        <x:f>'Proje girdileri'!A19</x:f>
        <x:v>Aile-15</x:v>
      </x:c>
      <x:c r="B19" s="2" t="str">
        <x:f>'Proje girdileri'!B19</x:f>
        <x:v>DCP</x:v>
      </x:c>
      <x:c r="C19" s="2" t="str">
        <x:f>IF(OR(COUNT('Proje girdileri'!D19:H19)&lt;&gt;5,MIN('Proje girdileri'!D19:H19)&lt;0,MAX('Proje girdileri'!D19:H19)&gt;2),"Yalnız deney",IF(MIN('Proje girdileri'!D19:H19)=0,"Kapsam/engel",IF(MIN('Proje girdileri'!D19:H19)=1,"Yalnız deney","Geçti")))</x:f>
        <x:v>Kapsam/engel</x:v>
      </x:c>
      <x:c r="D19" s="23" t="n">
        <x:f>IF(AND(COUNT('Proje girdileri'!I19:X19)=16,MIN('Proje girdileri'!I19:X19)&gt;=0,MAX('Proje girdileri'!I19:X19)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girdileri'!I19:X19,'Proje girdileri'!$I$2:$X$2)/5*100,"n.a.")</x:f>
        <x:v>17.400000000000006</x:v>
      </x:c>
      <x:c r="E19" s="23" t="n">
        <x:f>IF(AND(COUNT('Proje girdileri'!I19:X19)=16,MIN('Proje girdileri'!I19:X19)&gt;=0,MAX('Proje girdileri'!I19:X19)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girdileri'!I19:X19,'Proje girdileri'!$I$3:$X$3)/5*100,"n.a.")</x:f>
        <x:v>16.9</x:v>
      </x:c>
      <x:c r="F19" s="2" t="str">
        <x:f>IF(OR(COUNT('Ayarlar'!$B$5:$B$9)&lt;&gt;5,MIN('Ayarlar'!$B$5:$B$7)&lt;=0,MIN('Ayarlar'!$B$8:$B$9)&lt;0,NOT(ISNUMBER(H19)),H19&lt;=0),"n.a.",ROUNDUP(('Ayarlar'!$B$5+'Proje girdileri'!AI19+'Ayarlar'!$B$6*'Proje girdileri'!AJ19)/H19,0))</x:f>
        <x:v>n.a.</x:v>
      </x:c>
      <x:c r="G19" s="2" t="n">
        <x:f>IF(OR('Proje girdileri'!C19="internal",'Proje girdileri'!AE19+'Proje girdileri'!AF19+'Proje girdileri'!AG19*U19&lt;=0),0,MAX(0,ROUNDDOWN((MIN(T19*'Ayarlar'!$B$7,'Ayarlar'!$B$6*52/12*'Ayarlar'!$B$7-'Proje girdileri'!AD19)-T19*'Proje girdileri'!AK19)/('Proje girdileri'!AE19+'Proje girdileri'!AF19+'Proje girdileri'!AG19*U19),0)))</x:f>
        <x:v>0</x:v>
      </x:c>
      <x:c r="H19" s="24" t="n">
        <x:f>IF(COUNT('Proje girdileri'!Y19:AL19)&lt;&gt;14,"n.a.",('Proje girdileri'!Y19*(1-'Proje girdileri'!AA19-'Proje girdileri'!AB19)-'Proje girdileri'!Z19)*U19)</x:f>
        <x:v>0</x:v>
      </x:c>
      <x:c r="I19" s="24" t="n">
        <x:f>IF(ISNUMBER(H19),IF(H19&gt;0,MIN('Proje girdileri'!AL19,G19),0),"n.a.")</x:f>
        <x:v>0</x:v>
      </x:c>
      <x:c r="J19" s="24" t="n">
        <x:f>IF(ISNUMBER(H19),I19*H19-'Proje girdileri'!AI19-'Ayarlar'!$B$6*'Proje girdileri'!AJ19,"n.a.")</x:f>
        <x:v>0</x:v>
      </x:c>
      <x:c r="K19" s="23" t="n">
        <x:f>IF(ISNUMBER(I19),'Proje girdileri'!AD19+T19*'Proje girdileri'!AK19+I19*('Proje girdileri'!AE19+'Proje girdileri'!AF19+'Proje girdileri'!AG19*U19),"n.a.")</x:f>
        <x:v>0</x:v>
      </x:c>
      <x:c r="L19" s="23" t="n">
        <x:f>IF(ISNUMBER(J19),J19-K19*'Ayarlar'!$B$9,"n.a.")</x:f>
        <x:v>0</x:v>
      </x:c>
      <x:c r="M19" s="23" t="n">
        <x:f>IF(AND(ISNUMBER(K19),'Ayarlar'!$B$6&gt;0),K19/('Ayarlar'!$B$6*52/12),"n.a.")</x:f>
        <x:v>0</x:v>
      </x:c>
      <x:c r="N19" s="2" t="str">
        <x:f>IF('Proje girdileri'!AI19&lt;='Ayarlar'!$B$8,"Sığar","Aşar")</x:f>
        <x:v>Sığar</x:v>
      </x:c>
      <x:c r="O19" s="2" t="str">
        <x:f>IF(ISNUMBER(F19),IF(F19&lt;=G19,"Sığar","Aşar"),"n.a.")</x:f>
        <x:v>n.a.</x:v>
      </x:c>
      <x:c r="P19" s="2" t="str">
        <x:f>IF(OR(C19="Kapsam/engel",NOT(ISNUMBER(D19))),"n.a.",COUNTIFS($D$5:$D$50,"&gt;"&amp;D19,$C$5:$C$50,"&lt;&gt;Kapsam/engel")+COUNTIFS($D$5:D19,D19,$C$5:C19,"&lt;&gt;Kapsam/engel"))</x:f>
        <x:v>n.a.</x:v>
      </x:c>
      <x:c r="Q19" s="2" t="str">
        <x:f>IF(OR(C19="Kapsam/engel",NOT(ISNUMBER(E19))),"n.a.",COUNTIFS($E$5:$E$50,"&gt;"&amp;E19,$C$5:$C$50,"&lt;&gt;Kapsam/engel")+COUNTIFS($E$5:E19,E19,$C$5:C19,"&lt;&gt;Kapsam/engel"))</x:f>
        <x:v>n.a.</x:v>
      </x:c>
      <x:c r="R19" s="2" t="str">
        <x:f>IF(AND(C19="Geçti",N19="Sığar",O19="Sığar"),COUNTIFS($D$5:$D$50,"&gt;"&amp;D19,$C$5:$C$50,"Geçti",$N$5:$N$50,"Sığar",$O$5:$O$50,"Sığar")+COUNTIFS($D$5:D19,D19,$C$5:C19,"Geçti",$N$5:N19,"Sığar",$O$5:O19,"Sığar"),"n.a.")</x:f>
        <x:v>n.a.</x:v>
      </x:c>
      <x:c r="S19" s="24" t="n">
        <x:f>IF(ISNUMBER(J19),J19-MAX(0,J19)*'Ayarlar'!$B$10,"n.a.")</x:f>
        <x:v>0</x:v>
      </x:c>
      <x:c r="T19" s="2" t="n">
        <x:f>IF('Ayarlar'!$B$7&lt;=0,0,MAX(0,'Ayarlar'!$B$6*52/12-MAX('Proje girdileri'!AC19,ROUNDUP('Proje girdileri'!AD19/'Ayarlar'!$B$7,0))))</x:f>
        <x:v>26</x:v>
      </x:c>
      <x:c r="U19" s="2" t="n">
        <x:f>IF(T19=0,0,IF('Proje girdileri'!C19="recurring",IF(MAX(0,'Ayarlar'!$B$6-IF('Ayarlar'!$B$7&lt;=0,99,ROUNDUP(MAX('Proje girdileri'!AC19,ROUNDUP('Proje girdileri'!AD19/'Ayarlar'!$B$7,0))/(52/12),0)))=0,0,(IF(AND(1&gt;IF('Ayarlar'!$B$7&lt;=0,99,ROUNDUP(MAX('Proje girdileri'!AC19,ROUNDUP('Proje girdileri'!AD19/'Ayarlar'!$B$7,0))/(52/12),0)),1&lt;='Ayarlar'!$B$6),IF('Proje girdileri'!AT19=0,MIN('Proje girdileri'!AH19,'Ayarlar'!$B$6-1+1),(1-POWER(1-'Proje girdileri'!AT19,MIN('Proje girdileri'!AH19,'Ayarlar'!$B$6-1+1)))/'Proje girdileri'!AT19),0)+IF(AND(2&gt;IF('Ayarlar'!$B$7&lt;=0,99,ROUNDUP(MAX('Proje girdileri'!AC19,ROUNDUP('Proje girdileri'!AD19/'Ayarlar'!$B$7,0))/(52/12),0)),2&lt;='Ayarlar'!$B$6),IF('Proje girdileri'!AT19=0,MIN('Proje girdileri'!AH19,'Ayarlar'!$B$6-2+1),(1-POWER(1-'Proje girdileri'!AT19,MIN('Proje girdileri'!AH19,'Ayarlar'!$B$6-2+1)))/'Proje girdileri'!AT19),0)+IF(AND(3&gt;IF('Ayarlar'!$B$7&lt;=0,99,ROUNDUP(MAX('Proje girdileri'!AC19,ROUNDUP('Proje girdileri'!AD19/'Ayarlar'!$B$7,0))/(52/12),0)),3&lt;='Ayarlar'!$B$6),IF('Proje girdileri'!AT19=0,MIN('Proje girdileri'!AH19,'Ayarlar'!$B$6-3+1),(1-POWER(1-'Proje girdileri'!AT19,MIN('Proje girdileri'!AH19,'Ayarlar'!$B$6-3+1)))/'Proje girdileri'!AT19),0)+IF(AND(4&gt;IF('Ayarlar'!$B$7&lt;=0,99,ROUNDUP(MAX('Proje girdileri'!AC19,ROUNDUP('Proje girdileri'!AD19/'Ayarlar'!$B$7,0))/(52/12),0)),4&lt;='Ayarlar'!$B$6),IF('Proje girdileri'!AT19=0,MIN('Proje girdileri'!AH19,'Ayarlar'!$B$6-4+1),(1-POWER(1-'Proje girdileri'!AT19,MIN('Proje girdileri'!AH19,'Ayarlar'!$B$6-4+1)))/'Proje girdileri'!AT19),0)+IF(AND(5&gt;IF('Ayarlar'!$B$7&lt;=0,99,ROUNDUP(MAX('Proje girdileri'!AC19,ROUNDUP('Proje girdileri'!AD19/'Ayarlar'!$B$7,0))/(52/12),0)),5&lt;='Ayarlar'!$B$6),IF('Proje girdileri'!AT19=0,MIN('Proje girdileri'!AH19,'Ayarlar'!$B$6-5+1),(1-POWER(1-'Proje girdileri'!AT19,MIN('Proje girdileri'!AH19,'Ayarlar'!$B$6-5+1)))/'Proje girdileri'!AT19),0)+IF(AND(6&gt;IF('Ayarlar'!$B$7&lt;=0,99,ROUNDUP(MAX('Proje girdileri'!AC19,ROUNDUP('Proje girdileri'!AD19/'Ayarlar'!$B$7,0))/(52/12),0)),6&lt;='Ayarlar'!$B$6),IF('Proje girdileri'!AT19=0,MIN('Proje girdileri'!AH19,'Ayarlar'!$B$6-6+1),(1-POWER(1-'Proje girdileri'!AT19,MIN('Proje girdileri'!AH19,'Ayarlar'!$B$6-6+1)))/'Proje girdileri'!AT19),0)+IF(AND(7&gt;IF('Ayarlar'!$B$7&lt;=0,99,ROUNDUP(MAX('Proje girdileri'!AC19,ROUNDUP('Proje girdileri'!AD19/'Ayarlar'!$B$7,0))/(52/12),0)),7&lt;='Ayarlar'!$B$6),IF('Proje girdileri'!AT19=0,MIN('Proje girdileri'!AH19,'Ayarlar'!$B$6-7+1),(1-POWER(1-'Proje girdileri'!AT19,MIN('Proje girdileri'!AH19,'Ayarlar'!$B$6-7+1)))/'Proje girdileri'!AT19),0)+IF(AND(8&gt;IF('Ayarlar'!$B$7&lt;=0,99,ROUNDUP(MAX('Proje girdileri'!AC19,ROUNDUP('Proje girdileri'!AD19/'Ayarlar'!$B$7,0))/(52/12),0)),8&lt;='Ayarlar'!$B$6),IF('Proje girdileri'!AT19=0,MIN('Proje girdileri'!AH19,'Ayarlar'!$B$6-8+1),(1-POWER(1-'Proje girdileri'!AT19,MIN('Proje girdileri'!AH19,'Ayarlar'!$B$6-8+1)))/'Proje girdileri'!AT19),0)+IF(AND(9&gt;IF('Ayarlar'!$B$7&lt;=0,99,ROUNDUP(MAX('Proje girdileri'!AC19,ROUNDUP('Proje girdileri'!AD19/'Ayarlar'!$B$7,0))/(52/12),0)),9&lt;='Ayarlar'!$B$6),IF('Proje girdileri'!AT19=0,MIN('Proje girdileri'!AH19,'Ayarlar'!$B$6-9+1),(1-POWER(1-'Proje girdileri'!AT19,MIN('Proje girdileri'!AH19,'Ayarlar'!$B$6-9+1)))/'Proje girdileri'!AT19),0)+IF(AND(10&gt;IF('Ayarlar'!$B$7&lt;=0,99,ROUNDUP(MAX('Proje girdileri'!AC19,ROUNDUP('Proje girdileri'!AD19/'Ayarlar'!$B$7,0))/(52/12),0)),10&lt;='Ayarlar'!$B$6),IF('Proje girdileri'!AT19=0,MIN('Proje girdileri'!AH19,'Ayarlar'!$B$6-10+1),(1-POWER(1-'Proje girdileri'!AT19,MIN('Proje girdileri'!AH19,'Ayarlar'!$B$6-10+1)))/'Proje girdileri'!AT19),0)+IF(AND(11&gt;IF('Ayarlar'!$B$7&lt;=0,99,ROUNDUP(MAX('Proje girdileri'!AC19,ROUNDUP('Proje girdileri'!AD19/'Ayarlar'!$B$7,0))/(52/12),0)),11&lt;='Ayarlar'!$B$6),IF('Proje girdileri'!AT19=0,MIN('Proje girdileri'!AH19,'Ayarlar'!$B$6-11+1),(1-POWER(1-'Proje girdileri'!AT19,MIN('Proje girdileri'!AH19,'Ayarlar'!$B$6-11+1)))/'Proje girdileri'!AT19),0)+IF(AND(12&gt;IF('Ayarlar'!$B$7&lt;=0,99,ROUNDUP(MAX('Proje girdileri'!AC19,ROUNDUP('Proje girdileri'!AD19/'Ayarlar'!$B$7,0))/(52/12),0)),12&lt;='Ayarlar'!$B$6),IF('Proje girdileri'!AT19=0,MIN('Proje girdileri'!AH19,'Ayarlar'!$B$6-12+1),(1-POWER(1-'Proje girdileri'!AT19,MIN('Proje girdileri'!AH19,'Ayarlar'!$B$6-12+1)))/'Proje girdileri'!AT19),0))/MAX(0,'Ayarlar'!$B$6-IF('Ayarlar'!$B$7&lt;=0,99,ROUNDUP(MAX('Proje girdileri'!AC19,ROUNDUP('Proje girdileri'!AD19/'Ayarlar'!$B$7,0))/(52/12),0)))),1))</x:f>
        <x:v>1</x:v>
      </x:c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24" customHeight="1">
      <x:c r="A20" s="2" t="str">
        <x:f>'Proje girdileri'!A20</x:f>
        <x:v>Aile-16</x:v>
      </x:c>
      <x:c r="B20" s="2" t="str">
        <x:f>'Proje girdileri'!B20</x:f>
        <x:v>Mimari şema çıktısı</x:v>
      </x:c>
      <x:c r="C20" s="2" t="str">
        <x:f>IF(OR(COUNT('Proje girdileri'!D20:H20)&lt;&gt;5,MIN('Proje girdileri'!D20:H20)&lt;0,MAX('Proje girdileri'!D20:H20)&gt;2),"Yalnız deney",IF(MIN('Proje girdileri'!D20:H20)=0,"Kapsam/engel",IF(MIN('Proje girdileri'!D20:H20)=1,"Yalnız deney","Geçti")))</x:f>
        <x:v>Yalnız deney</x:v>
      </x:c>
      <x:c r="D20" s="23" t="n">
        <x:f>IF(AND(COUNT('Proje girdileri'!I20:X20)=16,MIN('Proje girdileri'!I20:X20)&gt;=0,MAX('Proje girdileri'!I20:X20)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girdileri'!I20:X20,'Proje girdileri'!$I$2:$X$2)/5*100,"n.a.")</x:f>
        <x:v>49.300000000000004</x:v>
      </x:c>
      <x:c r="E20" s="23" t="n">
        <x:f>IF(AND(COUNT('Proje girdileri'!I20:X20)=16,MIN('Proje girdileri'!I20:X20)&gt;=0,MAX('Proje girdileri'!I20:X20)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girdileri'!I20:X20,'Proje girdileri'!$I$3:$X$3)/5*100,"n.a.")</x:f>
        <x:v>48.99999999999999</x:v>
      </x:c>
      <x:c r="F20" s="2" t="n">
        <x:f>IF(OR(COUNT('Ayarlar'!$B$5:$B$9)&lt;&gt;5,MIN('Ayarlar'!$B$5:$B$7)&lt;=0,MIN('Ayarlar'!$B$8:$B$9)&lt;0,NOT(ISNUMBER(H20)),H20&lt;=0),"n.a.",ROUNDUP(('Ayarlar'!$B$5+'Proje girdileri'!AI20+'Ayarlar'!$B$6*'Proje girdileri'!AJ20)/H20,0))</x:f>
        <x:v>95</x:v>
      </x:c>
      <x:c r="G20" s="2" t="n">
        <x:f>IF(OR('Proje girdileri'!C20="internal",'Proje girdileri'!AE20+'Proje girdileri'!AF20+'Proje girdileri'!AG20*U20&lt;=0),0,MAX(0,ROUNDDOWN((MIN(T20*'Ayarlar'!$B$7,'Ayarlar'!$B$6*52/12*'Ayarlar'!$B$7-'Proje girdileri'!AD20)-T20*'Proje girdileri'!AK20)/('Proje girdileri'!AE20+'Proje girdileri'!AF20+'Proje girdileri'!AG20*U20),0)))</x:f>
        <x:v>177</x:v>
      </x:c>
      <x:c r="H20" s="24" t="n">
        <x:f>IF(COUNT('Proje girdileri'!Y20:AL20)&lt;&gt;14,"n.a.",('Proje girdileri'!Y20*(1-'Proje girdileri'!AA20-'Proje girdileri'!AB20)-'Proje girdileri'!Z20)*U20)</x:f>
        <x:v>33.099999999999994</x:v>
      </x:c>
      <x:c r="I20" s="24" t="n">
        <x:f>IF(ISNUMBER(H20),IF(H20&gt;0,MIN('Proje girdileri'!AL20,G20),0),"n.a.")</x:f>
        <x:v>15</x:v>
      </x:c>
      <x:c r="J20" s="24" t="n">
        <x:f>IF(ISNUMBER(H20),I20*H20-'Proje girdileri'!AI20-'Ayarlar'!$B$6*'Proje girdileri'!AJ20,"n.a.")</x:f>
        <x:v>373.4999999999999</x:v>
      </x:c>
      <x:c r="K20" s="23" t="n">
        <x:f>IF(ISNUMBER(I20),'Proje girdileri'!AD20+T20*'Proje girdileri'!AK20+I20*('Proje girdileri'!AE20+'Proje girdileri'!AF20+'Proje girdileri'!AG20*U20),"n.a.")</x:f>
        <x:v>56.75</x:v>
      </x:c>
      <x:c r="L20" s="23" t="n">
        <x:f>IF(ISNUMBER(J20),J20-K20*'Ayarlar'!$B$9,"n.a.")</x:f>
        <x:v>-1045.25</x:v>
      </x:c>
      <x:c r="M20" s="23" t="n">
        <x:f>IF(AND(ISNUMBER(K20),'Ayarlar'!$B$6&gt;0),K20/('Ayarlar'!$B$6*52/12),"n.a.")</x:f>
        <x:v>2.1826923076923075</x:v>
      </x:c>
      <x:c r="N20" s="2" t="str">
        <x:f>IF('Proje girdileri'!AI20&lt;='Ayarlar'!$B$8,"Sığar","Aşar")</x:f>
        <x:v>Sığar</x:v>
      </x:c>
      <x:c r="O20" s="2" t="str">
        <x:f>IF(ISNUMBER(F20),IF(F20&lt;=G20,"Sığar","Aşar"),"n.a.")</x:f>
        <x:v>Sığar</x:v>
      </x:c>
      <x:c r="P20" s="2" t="n">
        <x:f>IF(OR(C20="Kapsam/engel",NOT(ISNUMBER(D20))),"n.a.",COUNTIFS($D$5:$D$50,"&gt;"&amp;D20,$C$5:$C$50,"&lt;&gt;Kapsam/engel")+COUNTIFS($D$5:D20,D20,$C$5:C20,"&lt;&gt;Kapsam/engel"))</x:f>
        <x:v>17</x:v>
      </x:c>
      <x:c r="Q20" s="2" t="n">
        <x:f>IF(OR(C20="Kapsam/engel",NOT(ISNUMBER(E20))),"n.a.",COUNTIFS($E$5:$E$50,"&gt;"&amp;E20,$C$5:$C$50,"&lt;&gt;Kapsam/engel")+COUNTIFS($E$5:E20,E20,$C$5:C20,"&lt;&gt;Kapsam/engel"))</x:f>
        <x:v>17</x:v>
      </x:c>
      <x:c r="R20" s="2" t="str">
        <x:f>IF(AND(C20="Geçti",N20="Sığar",O20="Sığar"),COUNTIFS($D$5:$D$50,"&gt;"&amp;D20,$C$5:$C$50,"Geçti",$N$5:$N$50,"Sığar",$O$5:$O$50,"Sığar")+COUNTIFS($D$5:D20,D20,$C$5:C20,"Geçti",$N$5:N20,"Sığar",$O$5:O20,"Sığar"),"n.a.")</x:f>
        <x:v>n.a.</x:v>
      </x:c>
      <x:c r="S20" s="24" t="n">
        <x:f>IF(ISNUMBER(J20),J20-MAX(0,J20)*'Ayarlar'!$B$10,"n.a.")</x:f>
        <x:v>373.4999999999999</x:v>
      </x:c>
      <x:c r="T20" s="2" t="n">
        <x:f>IF('Ayarlar'!$B$7&lt;=0,0,MAX(0,'Ayarlar'!$B$6*52/12-MAX('Proje girdileri'!AC20,ROUNDUP('Proje girdileri'!AD20/'Ayarlar'!$B$7,0))))</x:f>
        <x:v>20</x:v>
      </x:c>
      <x:c r="U20" s="2" t="n">
        <x:f>IF(T20=0,0,IF('Proje girdileri'!C20="recurring",IF(MAX(0,'Ayarlar'!$B$6-IF('Ayarlar'!$B$7&lt;=0,99,ROUNDUP(MAX('Proje girdileri'!AC20,ROUNDUP('Proje girdileri'!AD20/'Ayarlar'!$B$7,0))/(52/12),0)))=0,0,(IF(AND(1&gt;IF('Ayarlar'!$B$7&lt;=0,99,ROUNDUP(MAX('Proje girdileri'!AC20,ROUNDUP('Proje girdileri'!AD20/'Ayarlar'!$B$7,0))/(52/12),0)),1&lt;='Ayarlar'!$B$6),IF('Proje girdileri'!AT20=0,MIN('Proje girdileri'!AH20,'Ayarlar'!$B$6-1+1),(1-POWER(1-'Proje girdileri'!AT20,MIN('Proje girdileri'!AH20,'Ayarlar'!$B$6-1+1)))/'Proje girdileri'!AT20),0)+IF(AND(2&gt;IF('Ayarlar'!$B$7&lt;=0,99,ROUNDUP(MAX('Proje girdileri'!AC20,ROUNDUP('Proje girdileri'!AD20/'Ayarlar'!$B$7,0))/(52/12),0)),2&lt;='Ayarlar'!$B$6),IF('Proje girdileri'!AT20=0,MIN('Proje girdileri'!AH20,'Ayarlar'!$B$6-2+1),(1-POWER(1-'Proje girdileri'!AT20,MIN('Proje girdileri'!AH20,'Ayarlar'!$B$6-2+1)))/'Proje girdileri'!AT20),0)+IF(AND(3&gt;IF('Ayarlar'!$B$7&lt;=0,99,ROUNDUP(MAX('Proje girdileri'!AC20,ROUNDUP('Proje girdileri'!AD20/'Ayarlar'!$B$7,0))/(52/12),0)),3&lt;='Ayarlar'!$B$6),IF('Proje girdileri'!AT20=0,MIN('Proje girdileri'!AH20,'Ayarlar'!$B$6-3+1),(1-POWER(1-'Proje girdileri'!AT20,MIN('Proje girdileri'!AH20,'Ayarlar'!$B$6-3+1)))/'Proje girdileri'!AT20),0)+IF(AND(4&gt;IF('Ayarlar'!$B$7&lt;=0,99,ROUNDUP(MAX('Proje girdileri'!AC20,ROUNDUP('Proje girdileri'!AD20/'Ayarlar'!$B$7,0))/(52/12),0)),4&lt;='Ayarlar'!$B$6),IF('Proje girdileri'!AT20=0,MIN('Proje girdileri'!AH20,'Ayarlar'!$B$6-4+1),(1-POWER(1-'Proje girdileri'!AT20,MIN('Proje girdileri'!AH20,'Ayarlar'!$B$6-4+1)))/'Proje girdileri'!AT20),0)+IF(AND(5&gt;IF('Ayarlar'!$B$7&lt;=0,99,ROUNDUP(MAX('Proje girdileri'!AC20,ROUNDUP('Proje girdileri'!AD20/'Ayarlar'!$B$7,0))/(52/12),0)),5&lt;='Ayarlar'!$B$6),IF('Proje girdileri'!AT20=0,MIN('Proje girdileri'!AH20,'Ayarlar'!$B$6-5+1),(1-POWER(1-'Proje girdileri'!AT20,MIN('Proje girdileri'!AH20,'Ayarlar'!$B$6-5+1)))/'Proje girdileri'!AT20),0)+IF(AND(6&gt;IF('Ayarlar'!$B$7&lt;=0,99,ROUNDUP(MAX('Proje girdileri'!AC20,ROUNDUP('Proje girdileri'!AD20/'Ayarlar'!$B$7,0))/(52/12),0)),6&lt;='Ayarlar'!$B$6),IF('Proje girdileri'!AT20=0,MIN('Proje girdileri'!AH20,'Ayarlar'!$B$6-6+1),(1-POWER(1-'Proje girdileri'!AT20,MIN('Proje girdileri'!AH20,'Ayarlar'!$B$6-6+1)))/'Proje girdileri'!AT20),0)+IF(AND(7&gt;IF('Ayarlar'!$B$7&lt;=0,99,ROUNDUP(MAX('Proje girdileri'!AC20,ROUNDUP('Proje girdileri'!AD20/'Ayarlar'!$B$7,0))/(52/12),0)),7&lt;='Ayarlar'!$B$6),IF('Proje girdileri'!AT20=0,MIN('Proje girdileri'!AH20,'Ayarlar'!$B$6-7+1),(1-POWER(1-'Proje girdileri'!AT20,MIN('Proje girdileri'!AH20,'Ayarlar'!$B$6-7+1)))/'Proje girdileri'!AT20),0)+IF(AND(8&gt;IF('Ayarlar'!$B$7&lt;=0,99,ROUNDUP(MAX('Proje girdileri'!AC20,ROUNDUP('Proje girdileri'!AD20/'Ayarlar'!$B$7,0))/(52/12),0)),8&lt;='Ayarlar'!$B$6),IF('Proje girdileri'!AT20=0,MIN('Proje girdileri'!AH20,'Ayarlar'!$B$6-8+1),(1-POWER(1-'Proje girdileri'!AT20,MIN('Proje girdileri'!AH20,'Ayarlar'!$B$6-8+1)))/'Proje girdileri'!AT20),0)+IF(AND(9&gt;IF('Ayarlar'!$B$7&lt;=0,99,ROUNDUP(MAX('Proje girdileri'!AC20,ROUNDUP('Proje girdileri'!AD20/'Ayarlar'!$B$7,0))/(52/12),0)),9&lt;='Ayarlar'!$B$6),IF('Proje girdileri'!AT20=0,MIN('Proje girdileri'!AH20,'Ayarlar'!$B$6-9+1),(1-POWER(1-'Proje girdileri'!AT20,MIN('Proje girdileri'!AH20,'Ayarlar'!$B$6-9+1)))/'Proje girdileri'!AT20),0)+IF(AND(10&gt;IF('Ayarlar'!$B$7&lt;=0,99,ROUNDUP(MAX('Proje girdileri'!AC20,ROUNDUP('Proje girdileri'!AD20/'Ayarlar'!$B$7,0))/(52/12),0)),10&lt;='Ayarlar'!$B$6),IF('Proje girdileri'!AT20=0,MIN('Proje girdileri'!AH20,'Ayarlar'!$B$6-10+1),(1-POWER(1-'Proje girdileri'!AT20,MIN('Proje girdileri'!AH20,'Ayarlar'!$B$6-10+1)))/'Proje girdileri'!AT20),0)+IF(AND(11&gt;IF('Ayarlar'!$B$7&lt;=0,99,ROUNDUP(MAX('Proje girdileri'!AC20,ROUNDUP('Proje girdileri'!AD20/'Ayarlar'!$B$7,0))/(52/12),0)),11&lt;='Ayarlar'!$B$6),IF('Proje girdileri'!AT20=0,MIN('Proje girdileri'!AH20,'Ayarlar'!$B$6-11+1),(1-POWER(1-'Proje girdileri'!AT20,MIN('Proje girdileri'!AH20,'Ayarlar'!$B$6-11+1)))/'Proje girdileri'!AT20),0)+IF(AND(12&gt;IF('Ayarlar'!$B$7&lt;=0,99,ROUNDUP(MAX('Proje girdileri'!AC20,ROUNDUP('Proje girdileri'!AD20/'Ayarlar'!$B$7,0))/(52/12),0)),12&lt;='Ayarlar'!$B$6),IF('Proje girdileri'!AT20=0,MIN('Proje girdileri'!AH20,'Ayarlar'!$B$6-12+1),(1-POWER(1-'Proje girdileri'!AT20,MIN('Proje girdileri'!AH20,'Ayarlar'!$B$6-12+1)))/'Proje girdileri'!AT20),0))/MAX(0,'Ayarlar'!$B$6-IF('Ayarlar'!$B$7&lt;=0,99,ROUNDUP(MAX('Proje girdileri'!AC20,ROUNDUP('Proje girdileri'!AD20/'Ayarlar'!$B$7,0))/(52/12),0)))),1))</x:f>
        <x:v>1</x:v>
      </x:c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24" customHeight="1">
      <x:c r="A21" s="2" t="str">
        <x:f>'Proje girdileri'!A21</x:f>
        <x:v>Aile-17</x:v>
      </x:c>
      <x:c r="B21" s="2" t="str">
        <x:f>'Proje girdileri'!B21</x:f>
        <x:v>DestekTeşvik</x:v>
      </x:c>
      <x:c r="C21" s="2" t="str">
        <x:f>IF(OR(COUNT('Proje girdileri'!D21:H21)&lt;&gt;5,MIN('Proje girdileri'!D21:H21)&lt;0,MAX('Proje girdileri'!D21:H21)&gt;2),"Yalnız deney",IF(MIN('Proje girdileri'!D21:H21)=0,"Kapsam/engel",IF(MIN('Proje girdileri'!D21:H21)=1,"Yalnız deney","Geçti")))</x:f>
        <x:v>Yalnız deney</x:v>
      </x:c>
      <x:c r="D21" s="23" t="n">
        <x:f>IF(AND(COUNT('Proje girdileri'!I21:X21)=16,MIN('Proje girdileri'!I21:X21)&gt;=0,MAX('Proje girdileri'!I21:X21)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girdileri'!I21:X21,'Proje girdileri'!$I$2:$X$2)/5*100,"n.a.")</x:f>
        <x:v>52.6</x:v>
      </x:c>
      <x:c r="E21" s="23" t="n">
        <x:f>IF(AND(COUNT('Proje girdileri'!I21:X21)=16,MIN('Proje girdileri'!I21:X21)&gt;=0,MAX('Proje girdileri'!I21:X21)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girdileri'!I21:X21,'Proje girdileri'!$I$3:$X$3)/5*100,"n.a.")</x:f>
        <x:v>51.300000000000004</x:v>
      </x:c>
      <x:c r="F21" s="2" t="n">
        <x:f>IF(OR(COUNT('Ayarlar'!$B$5:$B$9)&lt;&gt;5,MIN('Ayarlar'!$B$5:$B$7)&lt;=0,MIN('Ayarlar'!$B$8:$B$9)&lt;0,NOT(ISNUMBER(H21)),H21&lt;=0),"n.a.",ROUNDUP(('Ayarlar'!$B$5+'Proje girdileri'!AI21+'Ayarlar'!$B$6*'Proje girdileri'!AJ21)/H21,0))</x:f>
        <x:v>20</x:v>
      </x:c>
      <x:c r="G21" s="2" t="n">
        <x:f>IF(OR('Proje girdileri'!C21="internal",'Proje girdileri'!AE21+'Proje girdileri'!AF21+'Proje girdileri'!AG21*U21&lt;=0),0,MAX(0,ROUNDDOWN((MIN(T21*'Ayarlar'!$B$7,'Ayarlar'!$B$6*52/12*'Ayarlar'!$B$7-'Proje girdileri'!AD21)-T21*'Proje girdileri'!AK21)/('Proje girdileri'!AE21+'Proje girdileri'!AF21+'Proje girdileri'!AG21*U21),0)))</x:f>
        <x:v>17</x:v>
      </x:c>
      <x:c r="H21" s="24" t="n">
        <x:f>IF(COUNT('Proje girdileri'!Y21:AL21)&lt;&gt;14,"n.a.",('Proje girdileri'!Y21*(1-'Proje girdileri'!AA21-'Proje girdileri'!AB21)-'Proje girdileri'!Z21)*U21)</x:f>
        <x:v>159.6</x:v>
      </x:c>
      <x:c r="I21" s="24" t="n">
        <x:f>IF(ISNUMBER(H21),IF(H21&gt;0,MIN('Proje girdileri'!AL21,G21),0),"n.a.")</x:f>
        <x:v>12</x:v>
      </x:c>
      <x:c r="J21" s="24" t="n">
        <x:f>IF(ISNUMBER(H21),I21*H21-'Proje girdileri'!AI21-'Ayarlar'!$B$6*'Proje girdileri'!AJ21,"n.a.")</x:f>
        <x:v>1755.1999999999998</x:v>
      </x:c>
      <x:c r="K21" s="23" t="n">
        <x:f>IF(ISNUMBER(I21),'Proje girdileri'!AD21+T21*'Proje girdileri'!AK21+I21*('Proje girdileri'!AE21+'Proje girdileri'!AF21+'Proje girdileri'!AG21*U21),"n.a.")</x:f>
        <x:v>101.80000000000001</x:v>
      </x:c>
      <x:c r="L21" s="23" t="n">
        <x:f>IF(ISNUMBER(J21),J21-K21*'Ayarlar'!$B$9,"n.a.")</x:f>
        <x:v>-789.8000000000006</x:v>
      </x:c>
      <x:c r="M21" s="23" t="n">
        <x:f>IF(AND(ISNUMBER(K21),'Ayarlar'!$B$6&gt;0),K21/('Ayarlar'!$B$6*52/12),"n.a.")</x:f>
        <x:v>3.9153846153846157</x:v>
      </x:c>
      <x:c r="N21" s="2" t="str">
        <x:f>IF('Proje girdileri'!AI21&lt;='Ayarlar'!$B$8,"Sığar","Aşar")</x:f>
        <x:v>Sığar</x:v>
      </x:c>
      <x:c r="O21" s="2" t="str">
        <x:f>IF(ISNUMBER(F21),IF(F21&lt;=G21,"Sığar","Aşar"),"n.a.")</x:f>
        <x:v>Aşar</x:v>
      </x:c>
      <x:c r="P21" s="2" t="n">
        <x:f>IF(OR(C21="Kapsam/engel",NOT(ISNUMBER(D21))),"n.a.",COUNTIFS($D$5:$D$50,"&gt;"&amp;D21,$C$5:$C$50,"&lt;&gt;Kapsam/engel")+COUNTIFS($D$5:D21,D21,$C$5:C21,"&lt;&gt;Kapsam/engel"))</x:f>
        <x:v>6</x:v>
      </x:c>
      <x:c r="Q21" s="2" t="n">
        <x:f>IF(OR(C21="Kapsam/engel",NOT(ISNUMBER(E21))),"n.a.",COUNTIFS($E$5:$E$50,"&gt;"&amp;E21,$C$5:$C$50,"&lt;&gt;Kapsam/engel")+COUNTIFS($E$5:E21,E21,$C$5:C21,"&lt;&gt;Kapsam/engel"))</x:f>
        <x:v>7</x:v>
      </x:c>
      <x:c r="R21" s="2" t="str">
        <x:f>IF(AND(C21="Geçti",N21="Sığar",O21="Sığar"),COUNTIFS($D$5:$D$50,"&gt;"&amp;D21,$C$5:$C$50,"Geçti",$N$5:$N$50,"Sığar",$O$5:$O$50,"Sığar")+COUNTIFS($D$5:D21,D21,$C$5:C21,"Geçti",$N$5:N21,"Sığar",$O$5:O21,"Sığar"),"n.a.")</x:f>
        <x:v>n.a.</x:v>
      </x:c>
      <x:c r="S21" s="24" t="n">
        <x:f>IF(ISNUMBER(J21),J21-MAX(0,J21)*'Ayarlar'!$B$10,"n.a.")</x:f>
        <x:v>1755.1999999999998</x:v>
      </x:c>
      <x:c r="T21" s="2" t="n">
        <x:f>IF('Ayarlar'!$B$7&lt;=0,0,MAX(0,'Ayarlar'!$B$6*52/12-MAX('Proje girdileri'!AC21,ROUNDUP('Proje girdileri'!AD21/'Ayarlar'!$B$7,0))))</x:f>
        <x:v>20</x:v>
      </x:c>
      <x:c r="U21" s="2" t="n">
        <x:f>IF(T21=0,0,IF('Proje girdileri'!C21="recurring",IF(MAX(0,'Ayarlar'!$B$6-IF('Ayarlar'!$B$7&lt;=0,99,ROUNDUP(MAX('Proje girdileri'!AC21,ROUNDUP('Proje girdileri'!AD21/'Ayarlar'!$B$7,0))/(52/12),0)))=0,0,(IF(AND(1&gt;IF('Ayarlar'!$B$7&lt;=0,99,ROUNDUP(MAX('Proje girdileri'!AC21,ROUNDUP('Proje girdileri'!AD21/'Ayarlar'!$B$7,0))/(52/12),0)),1&lt;='Ayarlar'!$B$6),IF('Proje girdileri'!AT21=0,MIN('Proje girdileri'!AH21,'Ayarlar'!$B$6-1+1),(1-POWER(1-'Proje girdileri'!AT21,MIN('Proje girdileri'!AH21,'Ayarlar'!$B$6-1+1)))/'Proje girdileri'!AT21),0)+IF(AND(2&gt;IF('Ayarlar'!$B$7&lt;=0,99,ROUNDUP(MAX('Proje girdileri'!AC21,ROUNDUP('Proje girdileri'!AD21/'Ayarlar'!$B$7,0))/(52/12),0)),2&lt;='Ayarlar'!$B$6),IF('Proje girdileri'!AT21=0,MIN('Proje girdileri'!AH21,'Ayarlar'!$B$6-2+1),(1-POWER(1-'Proje girdileri'!AT21,MIN('Proje girdileri'!AH21,'Ayarlar'!$B$6-2+1)))/'Proje girdileri'!AT21),0)+IF(AND(3&gt;IF('Ayarlar'!$B$7&lt;=0,99,ROUNDUP(MAX('Proje girdileri'!AC21,ROUNDUP('Proje girdileri'!AD21/'Ayarlar'!$B$7,0))/(52/12),0)),3&lt;='Ayarlar'!$B$6),IF('Proje girdileri'!AT21=0,MIN('Proje girdileri'!AH21,'Ayarlar'!$B$6-3+1),(1-POWER(1-'Proje girdileri'!AT21,MIN('Proje girdileri'!AH21,'Ayarlar'!$B$6-3+1)))/'Proje girdileri'!AT21),0)+IF(AND(4&gt;IF('Ayarlar'!$B$7&lt;=0,99,ROUNDUP(MAX('Proje girdileri'!AC21,ROUNDUP('Proje girdileri'!AD21/'Ayarlar'!$B$7,0))/(52/12),0)),4&lt;='Ayarlar'!$B$6),IF('Proje girdileri'!AT21=0,MIN('Proje girdileri'!AH21,'Ayarlar'!$B$6-4+1),(1-POWER(1-'Proje girdileri'!AT21,MIN('Proje girdileri'!AH21,'Ayarlar'!$B$6-4+1)))/'Proje girdileri'!AT21),0)+IF(AND(5&gt;IF('Ayarlar'!$B$7&lt;=0,99,ROUNDUP(MAX('Proje girdileri'!AC21,ROUNDUP('Proje girdileri'!AD21/'Ayarlar'!$B$7,0))/(52/12),0)),5&lt;='Ayarlar'!$B$6),IF('Proje girdileri'!AT21=0,MIN('Proje girdileri'!AH21,'Ayarlar'!$B$6-5+1),(1-POWER(1-'Proje girdileri'!AT21,MIN('Proje girdileri'!AH21,'Ayarlar'!$B$6-5+1)))/'Proje girdileri'!AT21),0)+IF(AND(6&gt;IF('Ayarlar'!$B$7&lt;=0,99,ROUNDUP(MAX('Proje girdileri'!AC21,ROUNDUP('Proje girdileri'!AD21/'Ayarlar'!$B$7,0))/(52/12),0)),6&lt;='Ayarlar'!$B$6),IF('Proje girdileri'!AT21=0,MIN('Proje girdileri'!AH21,'Ayarlar'!$B$6-6+1),(1-POWER(1-'Proje girdileri'!AT21,MIN('Proje girdileri'!AH21,'Ayarlar'!$B$6-6+1)))/'Proje girdileri'!AT21),0)+IF(AND(7&gt;IF('Ayarlar'!$B$7&lt;=0,99,ROUNDUP(MAX('Proje girdileri'!AC21,ROUNDUP('Proje girdileri'!AD21/'Ayarlar'!$B$7,0))/(52/12),0)),7&lt;='Ayarlar'!$B$6),IF('Proje girdileri'!AT21=0,MIN('Proje girdileri'!AH21,'Ayarlar'!$B$6-7+1),(1-POWER(1-'Proje girdileri'!AT21,MIN('Proje girdileri'!AH21,'Ayarlar'!$B$6-7+1)))/'Proje girdileri'!AT21),0)+IF(AND(8&gt;IF('Ayarlar'!$B$7&lt;=0,99,ROUNDUP(MAX('Proje girdileri'!AC21,ROUNDUP('Proje girdileri'!AD21/'Ayarlar'!$B$7,0))/(52/12),0)),8&lt;='Ayarlar'!$B$6),IF('Proje girdileri'!AT21=0,MIN('Proje girdileri'!AH21,'Ayarlar'!$B$6-8+1),(1-POWER(1-'Proje girdileri'!AT21,MIN('Proje girdileri'!AH21,'Ayarlar'!$B$6-8+1)))/'Proje girdileri'!AT21),0)+IF(AND(9&gt;IF('Ayarlar'!$B$7&lt;=0,99,ROUNDUP(MAX('Proje girdileri'!AC21,ROUNDUP('Proje girdileri'!AD21/'Ayarlar'!$B$7,0))/(52/12),0)),9&lt;='Ayarlar'!$B$6),IF('Proje girdileri'!AT21=0,MIN('Proje girdileri'!AH21,'Ayarlar'!$B$6-9+1),(1-POWER(1-'Proje girdileri'!AT21,MIN('Proje girdileri'!AH21,'Ayarlar'!$B$6-9+1)))/'Proje girdileri'!AT21),0)+IF(AND(10&gt;IF('Ayarlar'!$B$7&lt;=0,99,ROUNDUP(MAX('Proje girdileri'!AC21,ROUNDUP('Proje girdileri'!AD21/'Ayarlar'!$B$7,0))/(52/12),0)),10&lt;='Ayarlar'!$B$6),IF('Proje girdileri'!AT21=0,MIN('Proje girdileri'!AH21,'Ayarlar'!$B$6-10+1),(1-POWER(1-'Proje girdileri'!AT21,MIN('Proje girdileri'!AH21,'Ayarlar'!$B$6-10+1)))/'Proje girdileri'!AT21),0)+IF(AND(11&gt;IF('Ayarlar'!$B$7&lt;=0,99,ROUNDUP(MAX('Proje girdileri'!AC21,ROUNDUP('Proje girdileri'!AD21/'Ayarlar'!$B$7,0))/(52/12),0)),11&lt;='Ayarlar'!$B$6),IF('Proje girdileri'!AT21=0,MIN('Proje girdileri'!AH21,'Ayarlar'!$B$6-11+1),(1-POWER(1-'Proje girdileri'!AT21,MIN('Proje girdileri'!AH21,'Ayarlar'!$B$6-11+1)))/'Proje girdileri'!AT21),0)+IF(AND(12&gt;IF('Ayarlar'!$B$7&lt;=0,99,ROUNDUP(MAX('Proje girdileri'!AC21,ROUNDUP('Proje girdileri'!AD21/'Ayarlar'!$B$7,0))/(52/12),0)),12&lt;='Ayarlar'!$B$6),IF('Proje girdileri'!AT21=0,MIN('Proje girdileri'!AH21,'Ayarlar'!$B$6-12+1),(1-POWER(1-'Proje girdileri'!AT21,MIN('Proje girdileri'!AH21,'Ayarlar'!$B$6-12+1)))/'Proje girdileri'!AT21),0))/MAX(0,'Ayarlar'!$B$6-IF('Ayarlar'!$B$7&lt;=0,99,ROUNDUP(MAX('Proje girdileri'!AC21,ROUNDUP('Proje girdileri'!AD21/'Ayarlar'!$B$7,0))/(52/12),0)))),1))</x:f>
        <x:v>1</x:v>
      </x:c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 t="str">
        <x:f>'Proje girdileri'!A22</x:f>
        <x:v>Aile-18</x:v>
      </x:c>
      <x:c r="B22" s="2" t="str">
        <x:f>'Proje girdileri'!B22</x:f>
        <x:v>Devpanel</x:v>
      </x:c>
      <x:c r="C22" s="2" t="str">
        <x:f>IF(OR(COUNT('Proje girdileri'!D22:H22)&lt;&gt;5,MIN('Proje girdileri'!D22:H22)&lt;0,MAX('Proje girdileri'!D22:H22)&gt;2),"Yalnız deney",IF(MIN('Proje girdileri'!D22:H22)=0,"Kapsam/engel",IF(MIN('Proje girdileri'!D22:H22)=1,"Yalnız deney","Geçti")))</x:f>
        <x:v>Kapsam/engel</x:v>
      </x:c>
      <x:c r="D22" s="23" t="n">
        <x:f>IF(AND(COUNT('Proje girdileri'!I22:X22)=16,MIN('Proje girdileri'!I22:X22)&gt;=0,MAX('Proje girdileri'!I22:X22)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girdileri'!I22:X22,'Proje girdileri'!$I$2:$X$2)/5*100,"n.a.")</x:f>
        <x:v>25.900000000000006</x:v>
      </x:c>
      <x:c r="E22" s="23" t="n">
        <x:f>IF(AND(COUNT('Proje girdileri'!I22:X22)=16,MIN('Proje girdileri'!I22:X22)&gt;=0,MAX('Proje girdileri'!I22:X22)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girdileri'!I22:X22,'Proje girdileri'!$I$3:$X$3)/5*100,"n.a.")</x:f>
        <x:v>24.900000000000006</x:v>
      </x:c>
      <x:c r="F22" s="2" t="str">
        <x:f>IF(OR(COUNT('Ayarlar'!$B$5:$B$9)&lt;&gt;5,MIN('Ayarlar'!$B$5:$B$7)&lt;=0,MIN('Ayarlar'!$B$8:$B$9)&lt;0,NOT(ISNUMBER(H22)),H22&lt;=0),"n.a.",ROUNDUP(('Ayarlar'!$B$5+'Proje girdileri'!AI22+'Ayarlar'!$B$6*'Proje girdileri'!AJ22)/H22,0))</x:f>
        <x:v>n.a.</x:v>
      </x:c>
      <x:c r="G22" s="2" t="n">
        <x:f>IF(OR('Proje girdileri'!C22="internal",'Proje girdileri'!AE22+'Proje girdileri'!AF22+'Proje girdileri'!AG22*U22&lt;=0),0,MAX(0,ROUNDDOWN((MIN(T22*'Ayarlar'!$B$7,'Ayarlar'!$B$6*52/12*'Ayarlar'!$B$7-'Proje girdileri'!AD22)-T22*'Proje girdileri'!AK22)/('Proje girdileri'!AE22+'Proje girdileri'!AF22+'Proje girdileri'!AG22*U22),0)))</x:f>
        <x:v>0</x:v>
      </x:c>
      <x:c r="H22" s="24" t="n">
        <x:f>IF(COUNT('Proje girdileri'!Y22:AL22)&lt;&gt;14,"n.a.",('Proje girdileri'!Y22*(1-'Proje girdileri'!AA22-'Proje girdileri'!AB22)-'Proje girdileri'!Z22)*U22)</x:f>
        <x:v>0</x:v>
      </x:c>
      <x:c r="I22" s="24" t="n">
        <x:f>IF(ISNUMBER(H22),IF(H22&gt;0,MIN('Proje girdileri'!AL22,G22),0),"n.a.")</x:f>
        <x:v>0</x:v>
      </x:c>
      <x:c r="J22" s="24" t="n">
        <x:f>IF(ISNUMBER(H22),I22*H22-'Proje girdileri'!AI22-'Ayarlar'!$B$6*'Proje girdileri'!AJ22,"n.a.")</x:f>
        <x:v>0</x:v>
      </x:c>
      <x:c r="K22" s="23" t="n">
        <x:f>IF(ISNUMBER(I22),'Proje girdileri'!AD22+T22*'Proje girdileri'!AK22+I22*('Proje girdileri'!AE22+'Proje girdileri'!AF22+'Proje girdileri'!AG22*U22),"n.a.")</x:f>
        <x:v>0</x:v>
      </x:c>
      <x:c r="L22" s="23" t="n">
        <x:f>IF(ISNUMBER(J22),J22-K22*'Ayarlar'!$B$9,"n.a.")</x:f>
        <x:v>0</x:v>
      </x:c>
      <x:c r="M22" s="23" t="n">
        <x:f>IF(AND(ISNUMBER(K22),'Ayarlar'!$B$6&gt;0),K22/('Ayarlar'!$B$6*52/12),"n.a.")</x:f>
        <x:v>0</x:v>
      </x:c>
      <x:c r="N22" s="2" t="str">
        <x:f>IF('Proje girdileri'!AI22&lt;='Ayarlar'!$B$8,"Sığar","Aşar")</x:f>
        <x:v>Sığar</x:v>
      </x:c>
      <x:c r="O22" s="2" t="str">
        <x:f>IF(ISNUMBER(F22),IF(F22&lt;=G22,"Sığar","Aşar"),"n.a.")</x:f>
        <x:v>n.a.</x:v>
      </x:c>
      <x:c r="P22" s="2" t="str">
        <x:f>IF(OR(C22="Kapsam/engel",NOT(ISNUMBER(D22))),"n.a.",COUNTIFS($D$5:$D$50,"&gt;"&amp;D22,$C$5:$C$50,"&lt;&gt;Kapsam/engel")+COUNTIFS($D$5:D22,D22,$C$5:C22,"&lt;&gt;Kapsam/engel"))</x:f>
        <x:v>n.a.</x:v>
      </x:c>
      <x:c r="Q22" s="2" t="str">
        <x:f>IF(OR(C22="Kapsam/engel",NOT(ISNUMBER(E22))),"n.a.",COUNTIFS($E$5:$E$50,"&gt;"&amp;E22,$C$5:$C$50,"&lt;&gt;Kapsam/engel")+COUNTIFS($E$5:E22,E22,$C$5:C22,"&lt;&gt;Kapsam/engel"))</x:f>
        <x:v>n.a.</x:v>
      </x:c>
      <x:c r="R22" s="2" t="str">
        <x:f>IF(AND(C22="Geçti",N22="Sığar",O22="Sığar"),COUNTIFS($D$5:$D$50,"&gt;"&amp;D22,$C$5:$C$50,"Geçti",$N$5:$N$50,"Sığar",$O$5:$O$50,"Sığar")+COUNTIFS($D$5:D22,D22,$C$5:C22,"Geçti",$N$5:N22,"Sığar",$O$5:O22,"Sığar"),"n.a.")</x:f>
        <x:v>n.a.</x:v>
      </x:c>
      <x:c r="S22" s="24" t="n">
        <x:f>IF(ISNUMBER(J22),J22-MAX(0,J22)*'Ayarlar'!$B$10,"n.a.")</x:f>
        <x:v>0</x:v>
      </x:c>
      <x:c r="T22" s="2" t="n">
        <x:f>IF('Ayarlar'!$B$7&lt;=0,0,MAX(0,'Ayarlar'!$B$6*52/12-MAX('Proje girdileri'!AC22,ROUNDUP('Proje girdileri'!AD22/'Ayarlar'!$B$7,0))))</x:f>
        <x:v>26</x:v>
      </x:c>
      <x:c r="U22" s="2" t="n">
        <x:f>IF(T22=0,0,IF('Proje girdileri'!C22="recurring",IF(MAX(0,'Ayarlar'!$B$6-IF('Ayarlar'!$B$7&lt;=0,99,ROUNDUP(MAX('Proje girdileri'!AC22,ROUNDUP('Proje girdileri'!AD22/'Ayarlar'!$B$7,0))/(52/12),0)))=0,0,(IF(AND(1&gt;IF('Ayarlar'!$B$7&lt;=0,99,ROUNDUP(MAX('Proje girdileri'!AC22,ROUNDUP('Proje girdileri'!AD22/'Ayarlar'!$B$7,0))/(52/12),0)),1&lt;='Ayarlar'!$B$6),IF('Proje girdileri'!AT22=0,MIN('Proje girdileri'!AH22,'Ayarlar'!$B$6-1+1),(1-POWER(1-'Proje girdileri'!AT22,MIN('Proje girdileri'!AH22,'Ayarlar'!$B$6-1+1)))/'Proje girdileri'!AT22),0)+IF(AND(2&gt;IF('Ayarlar'!$B$7&lt;=0,99,ROUNDUP(MAX('Proje girdileri'!AC22,ROUNDUP('Proje girdileri'!AD22/'Ayarlar'!$B$7,0))/(52/12),0)),2&lt;='Ayarlar'!$B$6),IF('Proje girdileri'!AT22=0,MIN('Proje girdileri'!AH22,'Ayarlar'!$B$6-2+1),(1-POWER(1-'Proje girdileri'!AT22,MIN('Proje girdileri'!AH22,'Ayarlar'!$B$6-2+1)))/'Proje girdileri'!AT22),0)+IF(AND(3&gt;IF('Ayarlar'!$B$7&lt;=0,99,ROUNDUP(MAX('Proje girdileri'!AC22,ROUNDUP('Proje girdileri'!AD22/'Ayarlar'!$B$7,0))/(52/12),0)),3&lt;='Ayarlar'!$B$6),IF('Proje girdileri'!AT22=0,MIN('Proje girdileri'!AH22,'Ayarlar'!$B$6-3+1),(1-POWER(1-'Proje girdileri'!AT22,MIN('Proje girdileri'!AH22,'Ayarlar'!$B$6-3+1)))/'Proje girdileri'!AT22),0)+IF(AND(4&gt;IF('Ayarlar'!$B$7&lt;=0,99,ROUNDUP(MAX('Proje girdileri'!AC22,ROUNDUP('Proje girdileri'!AD22/'Ayarlar'!$B$7,0))/(52/12),0)),4&lt;='Ayarlar'!$B$6),IF('Proje girdileri'!AT22=0,MIN('Proje girdileri'!AH22,'Ayarlar'!$B$6-4+1),(1-POWER(1-'Proje girdileri'!AT22,MIN('Proje girdileri'!AH22,'Ayarlar'!$B$6-4+1)))/'Proje girdileri'!AT22),0)+IF(AND(5&gt;IF('Ayarlar'!$B$7&lt;=0,99,ROUNDUP(MAX('Proje girdileri'!AC22,ROUNDUP('Proje girdileri'!AD22/'Ayarlar'!$B$7,0))/(52/12),0)),5&lt;='Ayarlar'!$B$6),IF('Proje girdileri'!AT22=0,MIN('Proje girdileri'!AH22,'Ayarlar'!$B$6-5+1),(1-POWER(1-'Proje girdileri'!AT22,MIN('Proje girdileri'!AH22,'Ayarlar'!$B$6-5+1)))/'Proje girdileri'!AT22),0)+IF(AND(6&gt;IF('Ayarlar'!$B$7&lt;=0,99,ROUNDUP(MAX('Proje girdileri'!AC22,ROUNDUP('Proje girdileri'!AD22/'Ayarlar'!$B$7,0))/(52/12),0)),6&lt;='Ayarlar'!$B$6),IF('Proje girdileri'!AT22=0,MIN('Proje girdileri'!AH22,'Ayarlar'!$B$6-6+1),(1-POWER(1-'Proje girdileri'!AT22,MIN('Proje girdileri'!AH22,'Ayarlar'!$B$6-6+1)))/'Proje girdileri'!AT22),0)+IF(AND(7&gt;IF('Ayarlar'!$B$7&lt;=0,99,ROUNDUP(MAX('Proje girdileri'!AC22,ROUNDUP('Proje girdileri'!AD22/'Ayarlar'!$B$7,0))/(52/12),0)),7&lt;='Ayarlar'!$B$6),IF('Proje girdileri'!AT22=0,MIN('Proje girdileri'!AH22,'Ayarlar'!$B$6-7+1),(1-POWER(1-'Proje girdileri'!AT22,MIN('Proje girdileri'!AH22,'Ayarlar'!$B$6-7+1)))/'Proje girdileri'!AT22),0)+IF(AND(8&gt;IF('Ayarlar'!$B$7&lt;=0,99,ROUNDUP(MAX('Proje girdileri'!AC22,ROUNDUP('Proje girdileri'!AD22/'Ayarlar'!$B$7,0))/(52/12),0)),8&lt;='Ayarlar'!$B$6),IF('Proje girdileri'!AT22=0,MIN('Proje girdileri'!AH22,'Ayarlar'!$B$6-8+1),(1-POWER(1-'Proje girdileri'!AT22,MIN('Proje girdileri'!AH22,'Ayarlar'!$B$6-8+1)))/'Proje girdileri'!AT22),0)+IF(AND(9&gt;IF('Ayarlar'!$B$7&lt;=0,99,ROUNDUP(MAX('Proje girdileri'!AC22,ROUNDUP('Proje girdileri'!AD22/'Ayarlar'!$B$7,0))/(52/12),0)),9&lt;='Ayarlar'!$B$6),IF('Proje girdileri'!AT22=0,MIN('Proje girdileri'!AH22,'Ayarlar'!$B$6-9+1),(1-POWER(1-'Proje girdileri'!AT22,MIN('Proje girdileri'!AH22,'Ayarlar'!$B$6-9+1)))/'Proje girdileri'!AT22),0)+IF(AND(10&gt;IF('Ayarlar'!$B$7&lt;=0,99,ROUNDUP(MAX('Proje girdileri'!AC22,ROUNDUP('Proje girdileri'!AD22/'Ayarlar'!$B$7,0))/(52/12),0)),10&lt;='Ayarlar'!$B$6),IF('Proje girdileri'!AT22=0,MIN('Proje girdileri'!AH22,'Ayarlar'!$B$6-10+1),(1-POWER(1-'Proje girdileri'!AT22,MIN('Proje girdileri'!AH22,'Ayarlar'!$B$6-10+1)))/'Proje girdileri'!AT22),0)+IF(AND(11&gt;IF('Ayarlar'!$B$7&lt;=0,99,ROUNDUP(MAX('Proje girdileri'!AC22,ROUNDUP('Proje girdileri'!AD22/'Ayarlar'!$B$7,0))/(52/12),0)),11&lt;='Ayarlar'!$B$6),IF('Proje girdileri'!AT22=0,MIN('Proje girdileri'!AH22,'Ayarlar'!$B$6-11+1),(1-POWER(1-'Proje girdileri'!AT22,MIN('Proje girdileri'!AH22,'Ayarlar'!$B$6-11+1)))/'Proje girdileri'!AT22),0)+IF(AND(12&gt;IF('Ayarlar'!$B$7&lt;=0,99,ROUNDUP(MAX('Proje girdileri'!AC22,ROUNDUP('Proje girdileri'!AD22/'Ayarlar'!$B$7,0))/(52/12),0)),12&lt;='Ayarlar'!$B$6),IF('Proje girdileri'!AT22=0,MIN('Proje girdileri'!AH22,'Ayarlar'!$B$6-12+1),(1-POWER(1-'Proje girdileri'!AT22,MIN('Proje girdileri'!AH22,'Ayarlar'!$B$6-12+1)))/'Proje girdileri'!AT22),0))/MAX(0,'Ayarlar'!$B$6-IF('Ayarlar'!$B$7&lt;=0,99,ROUNDUP(MAX('Proje girdileri'!AC22,ROUNDUP('Proje girdileri'!AD22/'Ayarlar'!$B$7,0))/(52/12),0)))),1))</x:f>
        <x:v>1</x:v>
      </x:c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24" customHeight="1">
      <x:c r="A23" s="2" t="str">
        <x:f>'Proje girdileri'!A23</x:f>
        <x:v>Aile-19</x:v>
      </x:c>
      <x:c r="B23" s="2" t="str">
        <x:f>'Proje girdileri'!B23</x:f>
        <x:v>E Menüm varlığı</x:v>
      </x:c>
      <x:c r="C23" s="2" t="str">
        <x:f>IF(OR(COUNT('Proje girdileri'!D23:H23)&lt;&gt;5,MIN('Proje girdileri'!D23:H23)&lt;0,MAX('Proje girdileri'!D23:H23)&gt;2),"Yalnız deney",IF(MIN('Proje girdileri'!D23:H23)=0,"Kapsam/engel",IF(MIN('Proje girdileri'!D23:H23)=1,"Yalnız deney","Geçti")))</x:f>
        <x:v>Kapsam/engel</x:v>
      </x:c>
      <x:c r="D23" s="23" t="n">
        <x:f>IF(AND(COUNT('Proje girdileri'!I23:X23)=16,MIN('Proje girdileri'!I23:X23)&gt;=0,MAX('Proje girdileri'!I23:X23)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girdileri'!I23:X23,'Proje girdileri'!$I$2:$X$2)/5*100,"n.a.")</x:f>
        <x:v>28.500000000000004</x:v>
      </x:c>
      <x:c r="E23" s="23" t="n">
        <x:f>IF(AND(COUNT('Proje girdileri'!I23:X23)=16,MIN('Proje girdileri'!I23:X23)&gt;=0,MAX('Proje girdileri'!I23:X23)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girdileri'!I23:X23,'Proje girdileri'!$I$3:$X$3)/5*100,"n.a.")</x:f>
        <x:v>26.800000000000008</x:v>
      </x:c>
      <x:c r="F23" s="2" t="str">
        <x:f>IF(OR(COUNT('Ayarlar'!$B$5:$B$9)&lt;&gt;5,MIN('Ayarlar'!$B$5:$B$7)&lt;=0,MIN('Ayarlar'!$B$8:$B$9)&lt;0,NOT(ISNUMBER(H23)),H23&lt;=0),"n.a.",ROUNDUP(('Ayarlar'!$B$5+'Proje girdileri'!AI23+'Ayarlar'!$B$6*'Proje girdileri'!AJ23)/H23,0))</x:f>
        <x:v>n.a.</x:v>
      </x:c>
      <x:c r="G23" s="2" t="n">
        <x:f>IF(OR('Proje girdileri'!C23="internal",'Proje girdileri'!AE23+'Proje girdileri'!AF23+'Proje girdileri'!AG23*U23&lt;=0),0,MAX(0,ROUNDDOWN((MIN(T23*'Ayarlar'!$B$7,'Ayarlar'!$B$6*52/12*'Ayarlar'!$B$7-'Proje girdileri'!AD23)-T23*'Proje girdileri'!AK23)/('Proje girdileri'!AE23+'Proje girdileri'!AF23+'Proje girdileri'!AG23*U23),0)))</x:f>
        <x:v>0</x:v>
      </x:c>
      <x:c r="H23" s="24" t="n">
        <x:f>IF(COUNT('Proje girdileri'!Y23:AL23)&lt;&gt;14,"n.a.",('Proje girdileri'!Y23*(1-'Proje girdileri'!AA23-'Proje girdileri'!AB23)-'Proje girdileri'!Z23)*U23)</x:f>
        <x:v>0</x:v>
      </x:c>
      <x:c r="I23" s="24" t="n">
        <x:f>IF(ISNUMBER(H23),IF(H23&gt;0,MIN('Proje girdileri'!AL23,G23),0),"n.a.")</x:f>
        <x:v>0</x:v>
      </x:c>
      <x:c r="J23" s="24" t="n">
        <x:f>IF(ISNUMBER(H23),I23*H23-'Proje girdileri'!AI23-'Ayarlar'!$B$6*'Proje girdileri'!AJ23,"n.a.")</x:f>
        <x:v>0</x:v>
      </x:c>
      <x:c r="K23" s="23" t="n">
        <x:f>IF(ISNUMBER(I23),'Proje girdileri'!AD23+T23*'Proje girdileri'!AK23+I23*('Proje girdileri'!AE23+'Proje girdileri'!AF23+'Proje girdileri'!AG23*U23),"n.a.")</x:f>
        <x:v>0</x:v>
      </x:c>
      <x:c r="L23" s="23" t="n">
        <x:f>IF(ISNUMBER(J23),J23-K23*'Ayarlar'!$B$9,"n.a.")</x:f>
        <x:v>0</x:v>
      </x:c>
      <x:c r="M23" s="23" t="n">
        <x:f>IF(AND(ISNUMBER(K23),'Ayarlar'!$B$6&gt;0),K23/('Ayarlar'!$B$6*52/12),"n.a.")</x:f>
        <x:v>0</x:v>
      </x:c>
      <x:c r="N23" s="2" t="str">
        <x:f>IF('Proje girdileri'!AI23&lt;='Ayarlar'!$B$8,"Sığar","Aşar")</x:f>
        <x:v>Sığar</x:v>
      </x:c>
      <x:c r="O23" s="2" t="str">
        <x:f>IF(ISNUMBER(F23),IF(F23&lt;=G23,"Sığar","Aşar"),"n.a.")</x:f>
        <x:v>n.a.</x:v>
      </x:c>
      <x:c r="P23" s="2" t="str">
        <x:f>IF(OR(C23="Kapsam/engel",NOT(ISNUMBER(D23))),"n.a.",COUNTIFS($D$5:$D$50,"&gt;"&amp;D23,$C$5:$C$50,"&lt;&gt;Kapsam/engel")+COUNTIFS($D$5:D23,D23,$C$5:C23,"&lt;&gt;Kapsam/engel"))</x:f>
        <x:v>n.a.</x:v>
      </x:c>
      <x:c r="Q23" s="2" t="str">
        <x:f>IF(OR(C23="Kapsam/engel",NOT(ISNUMBER(E23))),"n.a.",COUNTIFS($E$5:$E$50,"&gt;"&amp;E23,$C$5:$C$50,"&lt;&gt;Kapsam/engel")+COUNTIFS($E$5:E23,E23,$C$5:C23,"&lt;&gt;Kapsam/engel"))</x:f>
        <x:v>n.a.</x:v>
      </x:c>
      <x:c r="R23" s="2" t="str">
        <x:f>IF(AND(C23="Geçti",N23="Sığar",O23="Sığar"),COUNTIFS($D$5:$D$50,"&gt;"&amp;D23,$C$5:$C$50,"Geçti",$N$5:$N$50,"Sığar",$O$5:$O$50,"Sığar")+COUNTIFS($D$5:D23,D23,$C$5:C23,"Geçti",$N$5:N23,"Sığar",$O$5:O23,"Sığar"),"n.a.")</x:f>
        <x:v>n.a.</x:v>
      </x:c>
      <x:c r="S23" s="24" t="n">
        <x:f>IF(ISNUMBER(J23),J23-MAX(0,J23)*'Ayarlar'!$B$10,"n.a.")</x:f>
        <x:v>0</x:v>
      </x:c>
      <x:c r="T23" s="2" t="n">
        <x:f>IF('Ayarlar'!$B$7&lt;=0,0,MAX(0,'Ayarlar'!$B$6*52/12-MAX('Proje girdileri'!AC23,ROUNDUP('Proje girdileri'!AD23/'Ayarlar'!$B$7,0))))</x:f>
        <x:v>26</x:v>
      </x:c>
      <x:c r="U23" s="2" t="n">
        <x:f>IF(T23=0,0,IF('Proje girdileri'!C23="recurring",IF(MAX(0,'Ayarlar'!$B$6-IF('Ayarlar'!$B$7&lt;=0,99,ROUNDUP(MAX('Proje girdileri'!AC23,ROUNDUP('Proje girdileri'!AD23/'Ayarlar'!$B$7,0))/(52/12),0)))=0,0,(IF(AND(1&gt;IF('Ayarlar'!$B$7&lt;=0,99,ROUNDUP(MAX('Proje girdileri'!AC23,ROUNDUP('Proje girdileri'!AD23/'Ayarlar'!$B$7,0))/(52/12),0)),1&lt;='Ayarlar'!$B$6),IF('Proje girdileri'!AT23=0,MIN('Proje girdileri'!AH23,'Ayarlar'!$B$6-1+1),(1-POWER(1-'Proje girdileri'!AT23,MIN('Proje girdileri'!AH23,'Ayarlar'!$B$6-1+1)))/'Proje girdileri'!AT23),0)+IF(AND(2&gt;IF('Ayarlar'!$B$7&lt;=0,99,ROUNDUP(MAX('Proje girdileri'!AC23,ROUNDUP('Proje girdileri'!AD23/'Ayarlar'!$B$7,0))/(52/12),0)),2&lt;='Ayarlar'!$B$6),IF('Proje girdileri'!AT23=0,MIN('Proje girdileri'!AH23,'Ayarlar'!$B$6-2+1),(1-POWER(1-'Proje girdileri'!AT23,MIN('Proje girdileri'!AH23,'Ayarlar'!$B$6-2+1)))/'Proje girdileri'!AT23),0)+IF(AND(3&gt;IF('Ayarlar'!$B$7&lt;=0,99,ROUNDUP(MAX('Proje girdileri'!AC23,ROUNDUP('Proje girdileri'!AD23/'Ayarlar'!$B$7,0))/(52/12),0)),3&lt;='Ayarlar'!$B$6),IF('Proje girdileri'!AT23=0,MIN('Proje girdileri'!AH23,'Ayarlar'!$B$6-3+1),(1-POWER(1-'Proje girdileri'!AT23,MIN('Proje girdileri'!AH23,'Ayarlar'!$B$6-3+1)))/'Proje girdileri'!AT23),0)+IF(AND(4&gt;IF('Ayarlar'!$B$7&lt;=0,99,ROUNDUP(MAX('Proje girdileri'!AC23,ROUNDUP('Proje girdileri'!AD23/'Ayarlar'!$B$7,0))/(52/12),0)),4&lt;='Ayarlar'!$B$6),IF('Proje girdileri'!AT23=0,MIN('Proje girdileri'!AH23,'Ayarlar'!$B$6-4+1),(1-POWER(1-'Proje girdileri'!AT23,MIN('Proje girdileri'!AH23,'Ayarlar'!$B$6-4+1)))/'Proje girdileri'!AT23),0)+IF(AND(5&gt;IF('Ayarlar'!$B$7&lt;=0,99,ROUNDUP(MAX('Proje girdileri'!AC23,ROUNDUP('Proje girdileri'!AD23/'Ayarlar'!$B$7,0))/(52/12),0)),5&lt;='Ayarlar'!$B$6),IF('Proje girdileri'!AT23=0,MIN('Proje girdileri'!AH23,'Ayarlar'!$B$6-5+1),(1-POWER(1-'Proje girdileri'!AT23,MIN('Proje girdileri'!AH23,'Ayarlar'!$B$6-5+1)))/'Proje girdileri'!AT23),0)+IF(AND(6&gt;IF('Ayarlar'!$B$7&lt;=0,99,ROUNDUP(MAX('Proje girdileri'!AC23,ROUNDUP('Proje girdileri'!AD23/'Ayarlar'!$B$7,0))/(52/12),0)),6&lt;='Ayarlar'!$B$6),IF('Proje girdileri'!AT23=0,MIN('Proje girdileri'!AH23,'Ayarlar'!$B$6-6+1),(1-POWER(1-'Proje girdileri'!AT23,MIN('Proje girdileri'!AH23,'Ayarlar'!$B$6-6+1)))/'Proje girdileri'!AT23),0)+IF(AND(7&gt;IF('Ayarlar'!$B$7&lt;=0,99,ROUNDUP(MAX('Proje girdileri'!AC23,ROUNDUP('Proje girdileri'!AD23/'Ayarlar'!$B$7,0))/(52/12),0)),7&lt;='Ayarlar'!$B$6),IF('Proje girdileri'!AT23=0,MIN('Proje girdileri'!AH23,'Ayarlar'!$B$6-7+1),(1-POWER(1-'Proje girdileri'!AT23,MIN('Proje girdileri'!AH23,'Ayarlar'!$B$6-7+1)))/'Proje girdileri'!AT23),0)+IF(AND(8&gt;IF('Ayarlar'!$B$7&lt;=0,99,ROUNDUP(MAX('Proje girdileri'!AC23,ROUNDUP('Proje girdileri'!AD23/'Ayarlar'!$B$7,0))/(52/12),0)),8&lt;='Ayarlar'!$B$6),IF('Proje girdileri'!AT23=0,MIN('Proje girdileri'!AH23,'Ayarlar'!$B$6-8+1),(1-POWER(1-'Proje girdileri'!AT23,MIN('Proje girdileri'!AH23,'Ayarlar'!$B$6-8+1)))/'Proje girdileri'!AT23),0)+IF(AND(9&gt;IF('Ayarlar'!$B$7&lt;=0,99,ROUNDUP(MAX('Proje girdileri'!AC23,ROUNDUP('Proje girdileri'!AD23/'Ayarlar'!$B$7,0))/(52/12),0)),9&lt;='Ayarlar'!$B$6),IF('Proje girdileri'!AT23=0,MIN('Proje girdileri'!AH23,'Ayarlar'!$B$6-9+1),(1-POWER(1-'Proje girdileri'!AT23,MIN('Proje girdileri'!AH23,'Ayarlar'!$B$6-9+1)))/'Proje girdileri'!AT23),0)+IF(AND(10&gt;IF('Ayarlar'!$B$7&lt;=0,99,ROUNDUP(MAX('Proje girdileri'!AC23,ROUNDUP('Proje girdileri'!AD23/'Ayarlar'!$B$7,0))/(52/12),0)),10&lt;='Ayarlar'!$B$6),IF('Proje girdileri'!AT23=0,MIN('Proje girdileri'!AH23,'Ayarlar'!$B$6-10+1),(1-POWER(1-'Proje girdileri'!AT23,MIN('Proje girdileri'!AH23,'Ayarlar'!$B$6-10+1)))/'Proje girdileri'!AT23),0)+IF(AND(11&gt;IF('Ayarlar'!$B$7&lt;=0,99,ROUNDUP(MAX('Proje girdileri'!AC23,ROUNDUP('Proje girdileri'!AD23/'Ayarlar'!$B$7,0))/(52/12),0)),11&lt;='Ayarlar'!$B$6),IF('Proje girdileri'!AT23=0,MIN('Proje girdileri'!AH23,'Ayarlar'!$B$6-11+1),(1-POWER(1-'Proje girdileri'!AT23,MIN('Proje girdileri'!AH23,'Ayarlar'!$B$6-11+1)))/'Proje girdileri'!AT23),0)+IF(AND(12&gt;IF('Ayarlar'!$B$7&lt;=0,99,ROUNDUP(MAX('Proje girdileri'!AC23,ROUNDUP('Proje girdileri'!AD23/'Ayarlar'!$B$7,0))/(52/12),0)),12&lt;='Ayarlar'!$B$6),IF('Proje girdileri'!AT23=0,MIN('Proje girdileri'!AH23,'Ayarlar'!$B$6-12+1),(1-POWER(1-'Proje girdileri'!AT23,MIN('Proje girdileri'!AH23,'Ayarlar'!$B$6-12+1)))/'Proje girdileri'!AT23),0))/MAX(0,'Ayarlar'!$B$6-IF('Ayarlar'!$B$7&lt;=0,99,ROUNDUP(MAX('Proje girdileri'!AC23,ROUNDUP('Proje girdileri'!AD23/'Ayarlar'!$B$7,0))/(52/12),0)))),1))</x:f>
        <x:v>1</x:v>
      </x:c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24" customHeight="1">
      <x:c r="A24" s="2" t="str">
        <x:f>'Proje girdileri'!A24</x:f>
        <x:v>Aile-20</x:v>
      </x:c>
      <x:c r="B24" s="2" t="str">
        <x:f>'Proje girdileri'!B24</x:f>
        <x:v>Eklenti keşif paketi</x:v>
      </x:c>
      <x:c r="C24" s="2" t="str">
        <x:f>IF(OR(COUNT('Proje girdileri'!D24:H24)&lt;&gt;5,MIN('Proje girdileri'!D24:H24)&lt;0,MAX('Proje girdileri'!D24:H24)&gt;2),"Yalnız deney",IF(MIN('Proje girdileri'!D24:H24)=0,"Kapsam/engel",IF(MIN('Proje girdileri'!D24:H24)=1,"Yalnız deney","Geçti")))</x:f>
        <x:v>Yalnız deney</x:v>
      </x:c>
      <x:c r="D24" s="23" t="n">
        <x:f>IF(AND(COUNT('Proje girdileri'!I24:X24)=16,MIN('Proje girdileri'!I24:X24)&gt;=0,MAX('Proje girdileri'!I24:X24)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girdileri'!I24:X24,'Proje girdileri'!$I$2:$X$2)/5*100,"n.a.")</x:f>
        <x:v>41.20000000000001</x:v>
      </x:c>
      <x:c r="E24" s="23" t="n">
        <x:f>IF(AND(COUNT('Proje girdileri'!I24:X24)=16,MIN('Proje girdileri'!I24:X24)&gt;=0,MAX('Proje girdileri'!I24:X24)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girdileri'!I24:X24,'Proje girdileri'!$I$3:$X$3)/5*100,"n.a.")</x:f>
        <x:v>41.2</x:v>
      </x:c>
      <x:c r="F24" s="2" t="n">
        <x:f>IF(OR(COUNT('Ayarlar'!$B$5:$B$9)&lt;&gt;5,MIN('Ayarlar'!$B$5:$B$7)&lt;=0,MIN('Ayarlar'!$B$8:$B$9)&lt;0,NOT(ISNUMBER(H24)),H24&lt;=0),"n.a.",ROUNDUP(('Ayarlar'!$B$5+'Proje girdileri'!AI24+'Ayarlar'!$B$6*'Proje girdileri'!AJ24)/H24,0))</x:f>
        <x:v>95</x:v>
      </x:c>
      <x:c r="G24" s="2" t="n">
        <x:f>IF(OR('Proje girdileri'!C24="internal",'Proje girdileri'!AE24+'Proje girdileri'!AF24+'Proje girdileri'!AG24*U24&lt;=0),0,MAX(0,ROUNDDOWN((MIN(T24*'Ayarlar'!$B$7,'Ayarlar'!$B$6*52/12*'Ayarlar'!$B$7-'Proje girdileri'!AD24)-T24*'Proje girdileri'!AK24)/('Proje girdileri'!AE24+'Proje girdileri'!AF24+'Proje girdileri'!AG24*U24),0)))</x:f>
        <x:v>177</x:v>
      </x:c>
      <x:c r="H24" s="24" t="n">
        <x:f>IF(COUNT('Proje girdileri'!Y24:AL24)&lt;&gt;14,"n.a.",('Proje girdileri'!Y24*(1-'Proje girdileri'!AA24-'Proje girdileri'!AB24)-'Proje girdileri'!Z24)*U24)</x:f>
        <x:v>33.099999999999994</x:v>
      </x:c>
      <x:c r="I24" s="24" t="n">
        <x:f>IF(ISNUMBER(H24),IF(H24&gt;0,MIN('Proje girdileri'!AL24,G24),0),"n.a.")</x:f>
        <x:v>15</x:v>
      </x:c>
      <x:c r="J24" s="24" t="n">
        <x:f>IF(ISNUMBER(H24),I24*H24-'Proje girdileri'!AI24-'Ayarlar'!$B$6*'Proje girdileri'!AJ24,"n.a.")</x:f>
        <x:v>373.4999999999999</x:v>
      </x:c>
      <x:c r="K24" s="23" t="n">
        <x:f>IF(ISNUMBER(I24),'Proje girdileri'!AD24+T24*'Proje girdileri'!AK24+I24*('Proje girdileri'!AE24+'Proje girdileri'!AF24+'Proje girdileri'!AG24*U24),"n.a.")</x:f>
        <x:v>56.75</x:v>
      </x:c>
      <x:c r="L24" s="23" t="n">
        <x:f>IF(ISNUMBER(J24),J24-K24*'Ayarlar'!$B$9,"n.a.")</x:f>
        <x:v>-1045.25</x:v>
      </x:c>
      <x:c r="M24" s="23" t="n">
        <x:f>IF(AND(ISNUMBER(K24),'Ayarlar'!$B$6&gt;0),K24/('Ayarlar'!$B$6*52/12),"n.a.")</x:f>
        <x:v>2.1826923076923075</x:v>
      </x:c>
      <x:c r="N24" s="2" t="str">
        <x:f>IF('Proje girdileri'!AI24&lt;='Ayarlar'!$B$8,"Sığar","Aşar")</x:f>
        <x:v>Sığar</x:v>
      </x:c>
      <x:c r="O24" s="2" t="str">
        <x:f>IF(ISNUMBER(F24),IF(F24&lt;=G24,"Sığar","Aşar"),"n.a.")</x:f>
        <x:v>Sığar</x:v>
      </x:c>
      <x:c r="P24" s="2" t="n">
        <x:f>IF(OR(C24="Kapsam/engel",NOT(ISNUMBER(D24))),"n.a.",COUNTIFS($D$5:$D$50,"&gt;"&amp;D24,$C$5:$C$50,"&lt;&gt;Kapsam/engel")+COUNTIFS($D$5:D24,D24,$C$5:C24,"&lt;&gt;Kapsam/engel"))</x:f>
        <x:v>36</x:v>
      </x:c>
      <x:c r="Q24" s="2" t="n">
        <x:f>IF(OR(C24="Kapsam/engel",NOT(ISNUMBER(E24))),"n.a.",COUNTIFS($E$5:$E$50,"&gt;"&amp;E24,$C$5:$C$50,"&lt;&gt;Kapsam/engel")+COUNTIFS($E$5:E24,E24,$C$5:C24,"&lt;&gt;Kapsam/engel"))</x:f>
        <x:v>36</x:v>
      </x:c>
      <x:c r="R24" s="2" t="str">
        <x:f>IF(AND(C24="Geçti",N24="Sığar",O24="Sığar"),COUNTIFS($D$5:$D$50,"&gt;"&amp;D24,$C$5:$C$50,"Geçti",$N$5:$N$50,"Sığar",$O$5:$O$50,"Sığar")+COUNTIFS($D$5:D24,D24,$C$5:C24,"Geçti",$N$5:N24,"Sığar",$O$5:O24,"Sığar"),"n.a.")</x:f>
        <x:v>n.a.</x:v>
      </x:c>
      <x:c r="S24" s="24" t="n">
        <x:f>IF(ISNUMBER(J24),J24-MAX(0,J24)*'Ayarlar'!$B$10,"n.a.")</x:f>
        <x:v>373.4999999999999</x:v>
      </x:c>
      <x:c r="T24" s="2" t="n">
        <x:f>IF('Ayarlar'!$B$7&lt;=0,0,MAX(0,'Ayarlar'!$B$6*52/12-MAX('Proje girdileri'!AC24,ROUNDUP('Proje girdileri'!AD24/'Ayarlar'!$B$7,0))))</x:f>
        <x:v>20</x:v>
      </x:c>
      <x:c r="U24" s="2" t="n">
        <x:f>IF(T24=0,0,IF('Proje girdileri'!C24="recurring",IF(MAX(0,'Ayarlar'!$B$6-IF('Ayarlar'!$B$7&lt;=0,99,ROUNDUP(MAX('Proje girdileri'!AC24,ROUNDUP('Proje girdileri'!AD24/'Ayarlar'!$B$7,0))/(52/12),0)))=0,0,(IF(AND(1&gt;IF('Ayarlar'!$B$7&lt;=0,99,ROUNDUP(MAX('Proje girdileri'!AC24,ROUNDUP('Proje girdileri'!AD24/'Ayarlar'!$B$7,0))/(52/12),0)),1&lt;='Ayarlar'!$B$6),IF('Proje girdileri'!AT24=0,MIN('Proje girdileri'!AH24,'Ayarlar'!$B$6-1+1),(1-POWER(1-'Proje girdileri'!AT24,MIN('Proje girdileri'!AH24,'Ayarlar'!$B$6-1+1)))/'Proje girdileri'!AT24),0)+IF(AND(2&gt;IF('Ayarlar'!$B$7&lt;=0,99,ROUNDUP(MAX('Proje girdileri'!AC24,ROUNDUP('Proje girdileri'!AD24/'Ayarlar'!$B$7,0))/(52/12),0)),2&lt;='Ayarlar'!$B$6),IF('Proje girdileri'!AT24=0,MIN('Proje girdileri'!AH24,'Ayarlar'!$B$6-2+1),(1-POWER(1-'Proje girdileri'!AT24,MIN('Proje girdileri'!AH24,'Ayarlar'!$B$6-2+1)))/'Proje girdileri'!AT24),0)+IF(AND(3&gt;IF('Ayarlar'!$B$7&lt;=0,99,ROUNDUP(MAX('Proje girdileri'!AC24,ROUNDUP('Proje girdileri'!AD24/'Ayarlar'!$B$7,0))/(52/12),0)),3&lt;='Ayarlar'!$B$6),IF('Proje girdileri'!AT24=0,MIN('Proje girdileri'!AH24,'Ayarlar'!$B$6-3+1),(1-POWER(1-'Proje girdileri'!AT24,MIN('Proje girdileri'!AH24,'Ayarlar'!$B$6-3+1)))/'Proje girdileri'!AT24),0)+IF(AND(4&gt;IF('Ayarlar'!$B$7&lt;=0,99,ROUNDUP(MAX('Proje girdileri'!AC24,ROUNDUP('Proje girdileri'!AD24/'Ayarlar'!$B$7,0))/(52/12),0)),4&lt;='Ayarlar'!$B$6),IF('Proje girdileri'!AT24=0,MIN('Proje girdileri'!AH24,'Ayarlar'!$B$6-4+1),(1-POWER(1-'Proje girdileri'!AT24,MIN('Proje girdileri'!AH24,'Ayarlar'!$B$6-4+1)))/'Proje girdileri'!AT24),0)+IF(AND(5&gt;IF('Ayarlar'!$B$7&lt;=0,99,ROUNDUP(MAX('Proje girdileri'!AC24,ROUNDUP('Proje girdileri'!AD24/'Ayarlar'!$B$7,0))/(52/12),0)),5&lt;='Ayarlar'!$B$6),IF('Proje girdileri'!AT24=0,MIN('Proje girdileri'!AH24,'Ayarlar'!$B$6-5+1),(1-POWER(1-'Proje girdileri'!AT24,MIN('Proje girdileri'!AH24,'Ayarlar'!$B$6-5+1)))/'Proje girdileri'!AT24),0)+IF(AND(6&gt;IF('Ayarlar'!$B$7&lt;=0,99,ROUNDUP(MAX('Proje girdileri'!AC24,ROUNDUP('Proje girdileri'!AD24/'Ayarlar'!$B$7,0))/(52/12),0)),6&lt;='Ayarlar'!$B$6),IF('Proje girdileri'!AT24=0,MIN('Proje girdileri'!AH24,'Ayarlar'!$B$6-6+1),(1-POWER(1-'Proje girdileri'!AT24,MIN('Proje girdileri'!AH24,'Ayarlar'!$B$6-6+1)))/'Proje girdileri'!AT24),0)+IF(AND(7&gt;IF('Ayarlar'!$B$7&lt;=0,99,ROUNDUP(MAX('Proje girdileri'!AC24,ROUNDUP('Proje girdileri'!AD24/'Ayarlar'!$B$7,0))/(52/12),0)),7&lt;='Ayarlar'!$B$6),IF('Proje girdileri'!AT24=0,MIN('Proje girdileri'!AH24,'Ayarlar'!$B$6-7+1),(1-POWER(1-'Proje girdileri'!AT24,MIN('Proje girdileri'!AH24,'Ayarlar'!$B$6-7+1)))/'Proje girdileri'!AT24),0)+IF(AND(8&gt;IF('Ayarlar'!$B$7&lt;=0,99,ROUNDUP(MAX('Proje girdileri'!AC24,ROUNDUP('Proje girdileri'!AD24/'Ayarlar'!$B$7,0))/(52/12),0)),8&lt;='Ayarlar'!$B$6),IF('Proje girdileri'!AT24=0,MIN('Proje girdileri'!AH24,'Ayarlar'!$B$6-8+1),(1-POWER(1-'Proje girdileri'!AT24,MIN('Proje girdileri'!AH24,'Ayarlar'!$B$6-8+1)))/'Proje girdileri'!AT24),0)+IF(AND(9&gt;IF('Ayarlar'!$B$7&lt;=0,99,ROUNDUP(MAX('Proje girdileri'!AC24,ROUNDUP('Proje girdileri'!AD24/'Ayarlar'!$B$7,0))/(52/12),0)),9&lt;='Ayarlar'!$B$6),IF('Proje girdileri'!AT24=0,MIN('Proje girdileri'!AH24,'Ayarlar'!$B$6-9+1),(1-POWER(1-'Proje girdileri'!AT24,MIN('Proje girdileri'!AH24,'Ayarlar'!$B$6-9+1)))/'Proje girdileri'!AT24),0)+IF(AND(10&gt;IF('Ayarlar'!$B$7&lt;=0,99,ROUNDUP(MAX('Proje girdileri'!AC24,ROUNDUP('Proje girdileri'!AD24/'Ayarlar'!$B$7,0))/(52/12),0)),10&lt;='Ayarlar'!$B$6),IF('Proje girdileri'!AT24=0,MIN('Proje girdileri'!AH24,'Ayarlar'!$B$6-10+1),(1-POWER(1-'Proje girdileri'!AT24,MIN('Proje girdileri'!AH24,'Ayarlar'!$B$6-10+1)))/'Proje girdileri'!AT24),0)+IF(AND(11&gt;IF('Ayarlar'!$B$7&lt;=0,99,ROUNDUP(MAX('Proje girdileri'!AC24,ROUNDUP('Proje girdileri'!AD24/'Ayarlar'!$B$7,0))/(52/12),0)),11&lt;='Ayarlar'!$B$6),IF('Proje girdileri'!AT24=0,MIN('Proje girdileri'!AH24,'Ayarlar'!$B$6-11+1),(1-POWER(1-'Proje girdileri'!AT24,MIN('Proje girdileri'!AH24,'Ayarlar'!$B$6-11+1)))/'Proje girdileri'!AT24),0)+IF(AND(12&gt;IF('Ayarlar'!$B$7&lt;=0,99,ROUNDUP(MAX('Proje girdileri'!AC24,ROUNDUP('Proje girdileri'!AD24/'Ayarlar'!$B$7,0))/(52/12),0)),12&lt;='Ayarlar'!$B$6),IF('Proje girdileri'!AT24=0,MIN('Proje girdileri'!AH24,'Ayarlar'!$B$6-12+1),(1-POWER(1-'Proje girdileri'!AT24,MIN('Proje girdileri'!AH24,'Ayarlar'!$B$6-12+1)))/'Proje girdileri'!AT24),0))/MAX(0,'Ayarlar'!$B$6-IF('Ayarlar'!$B$7&lt;=0,99,ROUNDUP(MAX('Proje girdileri'!AC24,ROUNDUP('Proje girdileri'!AD24/'Ayarlar'!$B$7,0))/(52/12),0)))),1))</x:f>
        <x:v>1</x:v>
      </x:c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24" customHeight="1">
      <x:c r="A25" s="2" t="str">
        <x:f>'Proje girdileri'!A25</x:f>
        <x:v>Aile-21</x:v>
      </x:c>
      <x:c r="B25" s="2" t="str">
        <x:f>'Proje girdileri'!B25</x:f>
        <x:v>Kapsam dışı kayıt</x:v>
      </x:c>
      <x:c r="C25" s="2" t="str">
        <x:f>IF(OR(COUNT('Proje girdileri'!D25:H25)&lt;&gt;5,MIN('Proje girdileri'!D25:H25)&lt;0,MAX('Proje girdileri'!D25:H25)&gt;2),"Yalnız deney",IF(MIN('Proje girdileri'!D25:H25)=0,"Kapsam/engel",IF(MIN('Proje girdileri'!D25:H25)=1,"Yalnız deney","Geçti")))</x:f>
        <x:v>Kapsam/engel</x:v>
      </x:c>
      <x:c r="D25" s="23" t="n">
        <x:f>IF(AND(COUNT('Proje girdileri'!I25:X25)=16,MIN('Proje girdileri'!I25:X25)&gt;=0,MAX('Proje girdileri'!I25:X25)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girdileri'!I25:X25,'Proje girdileri'!$I$2:$X$2)/5*100,"n.a.")</x:f>
        <x:v>0</x:v>
      </x:c>
      <x:c r="E25" s="23" t="n">
        <x:f>IF(AND(COUNT('Proje girdileri'!I25:X25)=16,MIN('Proje girdileri'!I25:X25)&gt;=0,MAX('Proje girdileri'!I25:X25)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girdileri'!I25:X25,'Proje girdileri'!$I$3:$X$3)/5*100,"n.a.")</x:f>
        <x:v>0</x:v>
      </x:c>
      <x:c r="F25" s="2" t="str">
        <x:f>IF(OR(COUNT('Ayarlar'!$B$5:$B$9)&lt;&gt;5,MIN('Ayarlar'!$B$5:$B$7)&lt;=0,MIN('Ayarlar'!$B$8:$B$9)&lt;0,NOT(ISNUMBER(H25)),H25&lt;=0),"n.a.",ROUNDUP(('Ayarlar'!$B$5+'Proje girdileri'!AI25+'Ayarlar'!$B$6*'Proje girdileri'!AJ25)/H25,0))</x:f>
        <x:v>n.a.</x:v>
      </x:c>
      <x:c r="G25" s="2" t="n">
        <x:f>IF(OR('Proje girdileri'!C25="internal",'Proje girdileri'!AE25+'Proje girdileri'!AF25+'Proje girdileri'!AG25*U25&lt;=0),0,MAX(0,ROUNDDOWN((MIN(T25*'Ayarlar'!$B$7,'Ayarlar'!$B$6*52/12*'Ayarlar'!$B$7-'Proje girdileri'!AD25)-T25*'Proje girdileri'!AK25)/('Proje girdileri'!AE25+'Proje girdileri'!AF25+'Proje girdileri'!AG25*U25),0)))</x:f>
        <x:v>0</x:v>
      </x:c>
      <x:c r="H25" s="24" t="n">
        <x:f>IF(COUNT('Proje girdileri'!Y25:AL25)&lt;&gt;14,"n.a.",('Proje girdileri'!Y25*(1-'Proje girdileri'!AA25-'Proje girdileri'!AB25)-'Proje girdileri'!Z25)*U25)</x:f>
        <x:v>0</x:v>
      </x:c>
      <x:c r="I25" s="24" t="n">
        <x:f>IF(ISNUMBER(H25),IF(H25&gt;0,MIN('Proje girdileri'!AL25,G25),0),"n.a.")</x:f>
        <x:v>0</x:v>
      </x:c>
      <x:c r="J25" s="24" t="n">
        <x:f>IF(ISNUMBER(H25),I25*H25-'Proje girdileri'!AI25-'Ayarlar'!$B$6*'Proje girdileri'!AJ25,"n.a.")</x:f>
        <x:v>0</x:v>
      </x:c>
      <x:c r="K25" s="23" t="n">
        <x:f>IF(ISNUMBER(I25),'Proje girdileri'!AD25+T25*'Proje girdileri'!AK25+I25*('Proje girdileri'!AE25+'Proje girdileri'!AF25+'Proje girdileri'!AG25*U25),"n.a.")</x:f>
        <x:v>0</x:v>
      </x:c>
      <x:c r="L25" s="23" t="n">
        <x:f>IF(ISNUMBER(J25),J25-K25*'Ayarlar'!$B$9,"n.a.")</x:f>
        <x:v>0</x:v>
      </x:c>
      <x:c r="M25" s="23" t="n">
        <x:f>IF(AND(ISNUMBER(K25),'Ayarlar'!$B$6&gt;0),K25/('Ayarlar'!$B$6*52/12),"n.a.")</x:f>
        <x:v>0</x:v>
      </x:c>
      <x:c r="N25" s="2" t="str">
        <x:f>IF('Proje girdileri'!AI25&lt;='Ayarlar'!$B$8,"Sığar","Aşar")</x:f>
        <x:v>Sığar</x:v>
      </x:c>
      <x:c r="O25" s="2" t="str">
        <x:f>IF(ISNUMBER(F25),IF(F25&lt;=G25,"Sığar","Aşar"),"n.a.")</x:f>
        <x:v>n.a.</x:v>
      </x:c>
      <x:c r="P25" s="2" t="str">
        <x:f>IF(OR(C25="Kapsam/engel",NOT(ISNUMBER(D25))),"n.a.",COUNTIFS($D$5:$D$50,"&gt;"&amp;D25,$C$5:$C$50,"&lt;&gt;Kapsam/engel")+COUNTIFS($D$5:D25,D25,$C$5:C25,"&lt;&gt;Kapsam/engel"))</x:f>
        <x:v>n.a.</x:v>
      </x:c>
      <x:c r="Q25" s="2" t="str">
        <x:f>IF(OR(C25="Kapsam/engel",NOT(ISNUMBER(E25))),"n.a.",COUNTIFS($E$5:$E$50,"&gt;"&amp;E25,$C$5:$C$50,"&lt;&gt;Kapsam/engel")+COUNTIFS($E$5:E25,E25,$C$5:C25,"&lt;&gt;Kapsam/engel"))</x:f>
        <x:v>n.a.</x:v>
      </x:c>
      <x:c r="R25" s="2" t="str">
        <x:f>IF(AND(C25="Geçti",N25="Sığar",O25="Sığar"),COUNTIFS($D$5:$D$50,"&gt;"&amp;D25,$C$5:$C$50,"Geçti",$N$5:$N$50,"Sığar",$O$5:$O$50,"Sığar")+COUNTIFS($D$5:D25,D25,$C$5:C25,"Geçti",$N$5:N25,"Sığar",$O$5:O25,"Sığar"),"n.a.")</x:f>
        <x:v>n.a.</x:v>
      </x:c>
      <x:c r="S25" s="24" t="n">
        <x:f>IF(ISNUMBER(J25),J25-MAX(0,J25)*'Ayarlar'!$B$10,"n.a.")</x:f>
        <x:v>0</x:v>
      </x:c>
      <x:c r="T25" s="2" t="n">
        <x:f>IF('Ayarlar'!$B$7&lt;=0,0,MAX(0,'Ayarlar'!$B$6*52/12-MAX('Proje girdileri'!AC25,ROUNDUP('Proje girdileri'!AD25/'Ayarlar'!$B$7,0))))</x:f>
        <x:v>26</x:v>
      </x:c>
      <x:c r="U25" s="2" t="n">
        <x:f>IF(T25=0,0,IF('Proje girdileri'!C25="recurring",IF(MAX(0,'Ayarlar'!$B$6-IF('Ayarlar'!$B$7&lt;=0,99,ROUNDUP(MAX('Proje girdileri'!AC25,ROUNDUP('Proje girdileri'!AD25/'Ayarlar'!$B$7,0))/(52/12),0)))=0,0,(IF(AND(1&gt;IF('Ayarlar'!$B$7&lt;=0,99,ROUNDUP(MAX('Proje girdileri'!AC25,ROUNDUP('Proje girdileri'!AD25/'Ayarlar'!$B$7,0))/(52/12),0)),1&lt;='Ayarlar'!$B$6),IF('Proje girdileri'!AT25=0,MIN('Proje girdileri'!AH25,'Ayarlar'!$B$6-1+1),(1-POWER(1-'Proje girdileri'!AT25,MIN('Proje girdileri'!AH25,'Ayarlar'!$B$6-1+1)))/'Proje girdileri'!AT25),0)+IF(AND(2&gt;IF('Ayarlar'!$B$7&lt;=0,99,ROUNDUP(MAX('Proje girdileri'!AC25,ROUNDUP('Proje girdileri'!AD25/'Ayarlar'!$B$7,0))/(52/12),0)),2&lt;='Ayarlar'!$B$6),IF('Proje girdileri'!AT25=0,MIN('Proje girdileri'!AH25,'Ayarlar'!$B$6-2+1),(1-POWER(1-'Proje girdileri'!AT25,MIN('Proje girdileri'!AH25,'Ayarlar'!$B$6-2+1)))/'Proje girdileri'!AT25),0)+IF(AND(3&gt;IF('Ayarlar'!$B$7&lt;=0,99,ROUNDUP(MAX('Proje girdileri'!AC25,ROUNDUP('Proje girdileri'!AD25/'Ayarlar'!$B$7,0))/(52/12),0)),3&lt;='Ayarlar'!$B$6),IF('Proje girdileri'!AT25=0,MIN('Proje girdileri'!AH25,'Ayarlar'!$B$6-3+1),(1-POWER(1-'Proje girdileri'!AT25,MIN('Proje girdileri'!AH25,'Ayarlar'!$B$6-3+1)))/'Proje girdileri'!AT25),0)+IF(AND(4&gt;IF('Ayarlar'!$B$7&lt;=0,99,ROUNDUP(MAX('Proje girdileri'!AC25,ROUNDUP('Proje girdileri'!AD25/'Ayarlar'!$B$7,0))/(52/12),0)),4&lt;='Ayarlar'!$B$6),IF('Proje girdileri'!AT25=0,MIN('Proje girdileri'!AH25,'Ayarlar'!$B$6-4+1),(1-POWER(1-'Proje girdileri'!AT25,MIN('Proje girdileri'!AH25,'Ayarlar'!$B$6-4+1)))/'Proje girdileri'!AT25),0)+IF(AND(5&gt;IF('Ayarlar'!$B$7&lt;=0,99,ROUNDUP(MAX('Proje girdileri'!AC25,ROUNDUP('Proje girdileri'!AD25/'Ayarlar'!$B$7,0))/(52/12),0)),5&lt;='Ayarlar'!$B$6),IF('Proje girdileri'!AT25=0,MIN('Proje girdileri'!AH25,'Ayarlar'!$B$6-5+1),(1-POWER(1-'Proje girdileri'!AT25,MIN('Proje girdileri'!AH25,'Ayarlar'!$B$6-5+1)))/'Proje girdileri'!AT25),0)+IF(AND(6&gt;IF('Ayarlar'!$B$7&lt;=0,99,ROUNDUP(MAX('Proje girdileri'!AC25,ROUNDUP('Proje girdileri'!AD25/'Ayarlar'!$B$7,0))/(52/12),0)),6&lt;='Ayarlar'!$B$6),IF('Proje girdileri'!AT25=0,MIN('Proje girdileri'!AH25,'Ayarlar'!$B$6-6+1),(1-POWER(1-'Proje girdileri'!AT25,MIN('Proje girdileri'!AH25,'Ayarlar'!$B$6-6+1)))/'Proje girdileri'!AT25),0)+IF(AND(7&gt;IF('Ayarlar'!$B$7&lt;=0,99,ROUNDUP(MAX('Proje girdileri'!AC25,ROUNDUP('Proje girdileri'!AD25/'Ayarlar'!$B$7,0))/(52/12),0)),7&lt;='Ayarlar'!$B$6),IF('Proje girdileri'!AT25=0,MIN('Proje girdileri'!AH25,'Ayarlar'!$B$6-7+1),(1-POWER(1-'Proje girdileri'!AT25,MIN('Proje girdileri'!AH25,'Ayarlar'!$B$6-7+1)))/'Proje girdileri'!AT25),0)+IF(AND(8&gt;IF('Ayarlar'!$B$7&lt;=0,99,ROUNDUP(MAX('Proje girdileri'!AC25,ROUNDUP('Proje girdileri'!AD25/'Ayarlar'!$B$7,0))/(52/12),0)),8&lt;='Ayarlar'!$B$6),IF('Proje girdileri'!AT25=0,MIN('Proje girdileri'!AH25,'Ayarlar'!$B$6-8+1),(1-POWER(1-'Proje girdileri'!AT25,MIN('Proje girdileri'!AH25,'Ayarlar'!$B$6-8+1)))/'Proje girdileri'!AT25),0)+IF(AND(9&gt;IF('Ayarlar'!$B$7&lt;=0,99,ROUNDUP(MAX('Proje girdileri'!AC25,ROUNDUP('Proje girdileri'!AD25/'Ayarlar'!$B$7,0))/(52/12),0)),9&lt;='Ayarlar'!$B$6),IF('Proje girdileri'!AT25=0,MIN('Proje girdileri'!AH25,'Ayarlar'!$B$6-9+1),(1-POWER(1-'Proje girdileri'!AT25,MIN('Proje girdileri'!AH25,'Ayarlar'!$B$6-9+1)))/'Proje girdileri'!AT25),0)+IF(AND(10&gt;IF('Ayarlar'!$B$7&lt;=0,99,ROUNDUP(MAX('Proje girdileri'!AC25,ROUNDUP('Proje girdileri'!AD25/'Ayarlar'!$B$7,0))/(52/12),0)),10&lt;='Ayarlar'!$B$6),IF('Proje girdileri'!AT25=0,MIN('Proje girdileri'!AH25,'Ayarlar'!$B$6-10+1),(1-POWER(1-'Proje girdileri'!AT25,MIN('Proje girdileri'!AH25,'Ayarlar'!$B$6-10+1)))/'Proje girdileri'!AT25),0)+IF(AND(11&gt;IF('Ayarlar'!$B$7&lt;=0,99,ROUNDUP(MAX('Proje girdileri'!AC25,ROUNDUP('Proje girdileri'!AD25/'Ayarlar'!$B$7,0))/(52/12),0)),11&lt;='Ayarlar'!$B$6),IF('Proje girdileri'!AT25=0,MIN('Proje girdileri'!AH25,'Ayarlar'!$B$6-11+1),(1-POWER(1-'Proje girdileri'!AT25,MIN('Proje girdileri'!AH25,'Ayarlar'!$B$6-11+1)))/'Proje girdileri'!AT25),0)+IF(AND(12&gt;IF('Ayarlar'!$B$7&lt;=0,99,ROUNDUP(MAX('Proje girdileri'!AC25,ROUNDUP('Proje girdileri'!AD25/'Ayarlar'!$B$7,0))/(52/12),0)),12&lt;='Ayarlar'!$B$6),IF('Proje girdileri'!AT25=0,MIN('Proje girdileri'!AH25,'Ayarlar'!$B$6-12+1),(1-POWER(1-'Proje girdileri'!AT25,MIN('Proje girdileri'!AH25,'Ayarlar'!$B$6-12+1)))/'Proje girdileri'!AT25),0))/MAX(0,'Ayarlar'!$B$6-IF('Ayarlar'!$B$7&lt;=0,99,ROUNDUP(MAX('Proje girdileri'!AC25,ROUNDUP('Proje girdileri'!AD25/'Ayarlar'!$B$7,0))/(52/12),0)))),1))</x:f>
        <x:v>1</x:v>
      </x:c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 t="str">
        <x:f>'Proje girdileri'!A26</x:f>
        <x:v>Aile-22</x:v>
      </x:c>
      <x:c r="B26" s="2" t="str">
        <x:f>'Proje girdileri'!B26</x:f>
        <x:v>Frontend Atlası</x:v>
      </x:c>
      <x:c r="C26" s="2" t="str">
        <x:f>IF(OR(COUNT('Proje girdileri'!D26:H26)&lt;&gt;5,MIN('Proje girdileri'!D26:H26)&lt;0,MAX('Proje girdileri'!D26:H26)&gt;2),"Yalnız deney",IF(MIN('Proje girdileri'!D26:H26)=0,"Kapsam/engel",IF(MIN('Proje girdileri'!D26:H26)=1,"Yalnız deney","Geçti")))</x:f>
        <x:v>Yalnız deney</x:v>
      </x:c>
      <x:c r="D26" s="23" t="n">
        <x:f>IF(AND(COUNT('Proje girdileri'!I26:X26)=16,MIN('Proje girdileri'!I26:X26)&gt;=0,MAX('Proje girdileri'!I26:X26)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girdileri'!I26:X26,'Proje girdileri'!$I$2:$X$2)/5*100,"n.a.")</x:f>
        <x:v>49.300000000000004</x:v>
      </x:c>
      <x:c r="E26" s="23" t="n">
        <x:f>IF(AND(COUNT('Proje girdileri'!I26:X26)=16,MIN('Proje girdileri'!I26:X26)&gt;=0,MAX('Proje girdileri'!I26:X26)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girdileri'!I26:X26,'Proje girdileri'!$I$3:$X$3)/5*100,"n.a.")</x:f>
        <x:v>48.99999999999999</x:v>
      </x:c>
      <x:c r="F26" s="2" t="n">
        <x:f>IF(OR(COUNT('Ayarlar'!$B$5:$B$9)&lt;&gt;5,MIN('Ayarlar'!$B$5:$B$7)&lt;=0,MIN('Ayarlar'!$B$8:$B$9)&lt;0,NOT(ISNUMBER(H26)),H26&lt;=0),"n.a.",ROUNDUP(('Ayarlar'!$B$5+'Proje girdileri'!AI26+'Ayarlar'!$B$6*'Proje girdileri'!AJ26)/H26,0))</x:f>
        <x:v>95</x:v>
      </x:c>
      <x:c r="G26" s="2" t="n">
        <x:f>IF(OR('Proje girdileri'!C26="internal",'Proje girdileri'!AE26+'Proje girdileri'!AF26+'Proje girdileri'!AG26*U26&lt;=0),0,MAX(0,ROUNDDOWN((MIN(T26*'Ayarlar'!$B$7,'Ayarlar'!$B$6*52/12*'Ayarlar'!$B$7-'Proje girdileri'!AD26)-T26*'Proje girdileri'!AK26)/('Proje girdileri'!AE26+'Proje girdileri'!AF26+'Proje girdileri'!AG26*U26),0)))</x:f>
        <x:v>177</x:v>
      </x:c>
      <x:c r="H26" s="24" t="n">
        <x:f>IF(COUNT('Proje girdileri'!Y26:AL26)&lt;&gt;14,"n.a.",('Proje girdileri'!Y26*(1-'Proje girdileri'!AA26-'Proje girdileri'!AB26)-'Proje girdileri'!Z26)*U26)</x:f>
        <x:v>33.099999999999994</x:v>
      </x:c>
      <x:c r="I26" s="24" t="n">
        <x:f>IF(ISNUMBER(H26),IF(H26&gt;0,MIN('Proje girdileri'!AL26,G26),0),"n.a.")</x:f>
        <x:v>15</x:v>
      </x:c>
      <x:c r="J26" s="24" t="n">
        <x:f>IF(ISNUMBER(H26),I26*H26-'Proje girdileri'!AI26-'Ayarlar'!$B$6*'Proje girdileri'!AJ26,"n.a.")</x:f>
        <x:v>373.4999999999999</x:v>
      </x:c>
      <x:c r="K26" s="23" t="n">
        <x:f>IF(ISNUMBER(I26),'Proje girdileri'!AD26+T26*'Proje girdileri'!AK26+I26*('Proje girdileri'!AE26+'Proje girdileri'!AF26+'Proje girdileri'!AG26*U26),"n.a.")</x:f>
        <x:v>56.75</x:v>
      </x:c>
      <x:c r="L26" s="23" t="n">
        <x:f>IF(ISNUMBER(J26),J26-K26*'Ayarlar'!$B$9,"n.a.")</x:f>
        <x:v>-1045.25</x:v>
      </x:c>
      <x:c r="M26" s="23" t="n">
        <x:f>IF(AND(ISNUMBER(K26),'Ayarlar'!$B$6&gt;0),K26/('Ayarlar'!$B$6*52/12),"n.a.")</x:f>
        <x:v>2.1826923076923075</x:v>
      </x:c>
      <x:c r="N26" s="2" t="str">
        <x:f>IF('Proje girdileri'!AI26&lt;='Ayarlar'!$B$8,"Sığar","Aşar")</x:f>
        <x:v>Sığar</x:v>
      </x:c>
      <x:c r="O26" s="2" t="str">
        <x:f>IF(ISNUMBER(F26),IF(F26&lt;=G26,"Sığar","Aşar"),"n.a.")</x:f>
        <x:v>Sığar</x:v>
      </x:c>
      <x:c r="P26" s="2" t="n">
        <x:f>IF(OR(C26="Kapsam/engel",NOT(ISNUMBER(D26))),"n.a.",COUNTIFS($D$5:$D$50,"&gt;"&amp;D26,$C$5:$C$50,"&lt;&gt;Kapsam/engel")+COUNTIFS($D$5:D26,D26,$C$5:C26,"&lt;&gt;Kapsam/engel"))</x:f>
        <x:v>18</x:v>
      </x:c>
      <x:c r="Q26" s="2" t="n">
        <x:f>IF(OR(C26="Kapsam/engel",NOT(ISNUMBER(E26))),"n.a.",COUNTIFS($E$5:$E$50,"&gt;"&amp;E26,$C$5:$C$50,"&lt;&gt;Kapsam/engel")+COUNTIFS($E$5:E26,E26,$C$5:C26,"&lt;&gt;Kapsam/engel"))</x:f>
        <x:v>18</x:v>
      </x:c>
      <x:c r="R26" s="2" t="str">
        <x:f>IF(AND(C26="Geçti",N26="Sığar",O26="Sığar"),COUNTIFS($D$5:$D$50,"&gt;"&amp;D26,$C$5:$C$50,"Geçti",$N$5:$N$50,"Sığar",$O$5:$O$50,"Sığar")+COUNTIFS($D$5:D26,D26,$C$5:C26,"Geçti",$N$5:N26,"Sığar",$O$5:O26,"Sığar"),"n.a.")</x:f>
        <x:v>n.a.</x:v>
      </x:c>
      <x:c r="S26" s="24" t="n">
        <x:f>IF(ISNUMBER(J26),J26-MAX(0,J26)*'Ayarlar'!$B$10,"n.a.")</x:f>
        <x:v>373.4999999999999</x:v>
      </x:c>
      <x:c r="T26" s="2" t="n">
        <x:f>IF('Ayarlar'!$B$7&lt;=0,0,MAX(0,'Ayarlar'!$B$6*52/12-MAX('Proje girdileri'!AC26,ROUNDUP('Proje girdileri'!AD26/'Ayarlar'!$B$7,0))))</x:f>
        <x:v>20</x:v>
      </x:c>
      <x:c r="U26" s="2" t="n">
        <x:f>IF(T26=0,0,IF('Proje girdileri'!C26="recurring",IF(MAX(0,'Ayarlar'!$B$6-IF('Ayarlar'!$B$7&lt;=0,99,ROUNDUP(MAX('Proje girdileri'!AC26,ROUNDUP('Proje girdileri'!AD26/'Ayarlar'!$B$7,0))/(52/12),0)))=0,0,(IF(AND(1&gt;IF('Ayarlar'!$B$7&lt;=0,99,ROUNDUP(MAX('Proje girdileri'!AC26,ROUNDUP('Proje girdileri'!AD26/'Ayarlar'!$B$7,0))/(52/12),0)),1&lt;='Ayarlar'!$B$6),IF('Proje girdileri'!AT26=0,MIN('Proje girdileri'!AH26,'Ayarlar'!$B$6-1+1),(1-POWER(1-'Proje girdileri'!AT26,MIN('Proje girdileri'!AH26,'Ayarlar'!$B$6-1+1)))/'Proje girdileri'!AT26),0)+IF(AND(2&gt;IF('Ayarlar'!$B$7&lt;=0,99,ROUNDUP(MAX('Proje girdileri'!AC26,ROUNDUP('Proje girdileri'!AD26/'Ayarlar'!$B$7,0))/(52/12),0)),2&lt;='Ayarlar'!$B$6),IF('Proje girdileri'!AT26=0,MIN('Proje girdileri'!AH26,'Ayarlar'!$B$6-2+1),(1-POWER(1-'Proje girdileri'!AT26,MIN('Proje girdileri'!AH26,'Ayarlar'!$B$6-2+1)))/'Proje girdileri'!AT26),0)+IF(AND(3&gt;IF('Ayarlar'!$B$7&lt;=0,99,ROUNDUP(MAX('Proje girdileri'!AC26,ROUNDUP('Proje girdileri'!AD26/'Ayarlar'!$B$7,0))/(52/12),0)),3&lt;='Ayarlar'!$B$6),IF('Proje girdileri'!AT26=0,MIN('Proje girdileri'!AH26,'Ayarlar'!$B$6-3+1),(1-POWER(1-'Proje girdileri'!AT26,MIN('Proje girdileri'!AH26,'Ayarlar'!$B$6-3+1)))/'Proje girdileri'!AT26),0)+IF(AND(4&gt;IF('Ayarlar'!$B$7&lt;=0,99,ROUNDUP(MAX('Proje girdileri'!AC26,ROUNDUP('Proje girdileri'!AD26/'Ayarlar'!$B$7,0))/(52/12),0)),4&lt;='Ayarlar'!$B$6),IF('Proje girdileri'!AT26=0,MIN('Proje girdileri'!AH26,'Ayarlar'!$B$6-4+1),(1-POWER(1-'Proje girdileri'!AT26,MIN('Proje girdileri'!AH26,'Ayarlar'!$B$6-4+1)))/'Proje girdileri'!AT26),0)+IF(AND(5&gt;IF('Ayarlar'!$B$7&lt;=0,99,ROUNDUP(MAX('Proje girdileri'!AC26,ROUNDUP('Proje girdileri'!AD26/'Ayarlar'!$B$7,0))/(52/12),0)),5&lt;='Ayarlar'!$B$6),IF('Proje girdileri'!AT26=0,MIN('Proje girdileri'!AH26,'Ayarlar'!$B$6-5+1),(1-POWER(1-'Proje girdileri'!AT26,MIN('Proje girdileri'!AH26,'Ayarlar'!$B$6-5+1)))/'Proje girdileri'!AT26),0)+IF(AND(6&gt;IF('Ayarlar'!$B$7&lt;=0,99,ROUNDUP(MAX('Proje girdileri'!AC26,ROUNDUP('Proje girdileri'!AD26/'Ayarlar'!$B$7,0))/(52/12),0)),6&lt;='Ayarlar'!$B$6),IF('Proje girdileri'!AT26=0,MIN('Proje girdileri'!AH26,'Ayarlar'!$B$6-6+1),(1-POWER(1-'Proje girdileri'!AT26,MIN('Proje girdileri'!AH26,'Ayarlar'!$B$6-6+1)))/'Proje girdileri'!AT26),0)+IF(AND(7&gt;IF('Ayarlar'!$B$7&lt;=0,99,ROUNDUP(MAX('Proje girdileri'!AC26,ROUNDUP('Proje girdileri'!AD26/'Ayarlar'!$B$7,0))/(52/12),0)),7&lt;='Ayarlar'!$B$6),IF('Proje girdileri'!AT26=0,MIN('Proje girdileri'!AH26,'Ayarlar'!$B$6-7+1),(1-POWER(1-'Proje girdileri'!AT26,MIN('Proje girdileri'!AH26,'Ayarlar'!$B$6-7+1)))/'Proje girdileri'!AT26),0)+IF(AND(8&gt;IF('Ayarlar'!$B$7&lt;=0,99,ROUNDUP(MAX('Proje girdileri'!AC26,ROUNDUP('Proje girdileri'!AD26/'Ayarlar'!$B$7,0))/(52/12),0)),8&lt;='Ayarlar'!$B$6),IF('Proje girdileri'!AT26=0,MIN('Proje girdileri'!AH26,'Ayarlar'!$B$6-8+1),(1-POWER(1-'Proje girdileri'!AT26,MIN('Proje girdileri'!AH26,'Ayarlar'!$B$6-8+1)))/'Proje girdileri'!AT26),0)+IF(AND(9&gt;IF('Ayarlar'!$B$7&lt;=0,99,ROUNDUP(MAX('Proje girdileri'!AC26,ROUNDUP('Proje girdileri'!AD26/'Ayarlar'!$B$7,0))/(52/12),0)),9&lt;='Ayarlar'!$B$6),IF('Proje girdileri'!AT26=0,MIN('Proje girdileri'!AH26,'Ayarlar'!$B$6-9+1),(1-POWER(1-'Proje girdileri'!AT26,MIN('Proje girdileri'!AH26,'Ayarlar'!$B$6-9+1)))/'Proje girdileri'!AT26),0)+IF(AND(10&gt;IF('Ayarlar'!$B$7&lt;=0,99,ROUNDUP(MAX('Proje girdileri'!AC26,ROUNDUP('Proje girdileri'!AD26/'Ayarlar'!$B$7,0))/(52/12),0)),10&lt;='Ayarlar'!$B$6),IF('Proje girdileri'!AT26=0,MIN('Proje girdileri'!AH26,'Ayarlar'!$B$6-10+1),(1-POWER(1-'Proje girdileri'!AT26,MIN('Proje girdileri'!AH26,'Ayarlar'!$B$6-10+1)))/'Proje girdileri'!AT26),0)+IF(AND(11&gt;IF('Ayarlar'!$B$7&lt;=0,99,ROUNDUP(MAX('Proje girdileri'!AC26,ROUNDUP('Proje girdileri'!AD26/'Ayarlar'!$B$7,0))/(52/12),0)),11&lt;='Ayarlar'!$B$6),IF('Proje girdileri'!AT26=0,MIN('Proje girdileri'!AH26,'Ayarlar'!$B$6-11+1),(1-POWER(1-'Proje girdileri'!AT26,MIN('Proje girdileri'!AH26,'Ayarlar'!$B$6-11+1)))/'Proje girdileri'!AT26),0)+IF(AND(12&gt;IF('Ayarlar'!$B$7&lt;=0,99,ROUNDUP(MAX('Proje girdileri'!AC26,ROUNDUP('Proje girdileri'!AD26/'Ayarlar'!$B$7,0))/(52/12),0)),12&lt;='Ayarlar'!$B$6),IF('Proje girdileri'!AT26=0,MIN('Proje girdileri'!AH26,'Ayarlar'!$B$6-12+1),(1-POWER(1-'Proje girdileri'!AT26,MIN('Proje girdileri'!AH26,'Ayarlar'!$B$6-12+1)))/'Proje girdileri'!AT26),0))/MAX(0,'Ayarlar'!$B$6-IF('Ayarlar'!$B$7&lt;=0,99,ROUNDUP(MAX('Proje girdileri'!AC26,ROUNDUP('Proje girdileri'!AD26/'Ayarlar'!$B$7,0))/(52/12),0)))),1))</x:f>
        <x:v>1</x:v>
      </x:c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 t="str">
        <x:f>'Proje girdileri'!A27</x:f>
        <x:v>Aile-23</x:v>
      </x:c>
      <x:c r="B27" s="2" t="str">
        <x:f>'Proje girdileri'!B27</x:f>
        <x:v>G11n QA</x:v>
      </x:c>
      <x:c r="C27" s="2" t="str">
        <x:f>IF(OR(COUNT('Proje girdileri'!D27:H27)&lt;&gt;5,MIN('Proje girdileri'!D27:H27)&lt;0,MAX('Proje girdileri'!D27:H27)&gt;2),"Yalnız deney",IF(MIN('Proje girdileri'!D27:H27)=0,"Kapsam/engel",IF(MIN('Proje girdileri'!D27:H27)=1,"Yalnız deney","Geçti")))</x:f>
        <x:v>Yalnız deney</x:v>
      </x:c>
      <x:c r="D27" s="23" t="n">
        <x:f>IF(AND(COUNT('Proje girdileri'!I27:X27)=16,MIN('Proje girdileri'!I27:X27)&gt;=0,MAX('Proje girdileri'!I27:X27)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girdileri'!I27:X27,'Proje girdileri'!$I$2:$X$2)/5*100,"n.a.")</x:f>
        <x:v>52.800000000000004</x:v>
      </x:c>
      <x:c r="E27" s="23" t="n">
        <x:f>IF(AND(COUNT('Proje girdileri'!I27:X27)=16,MIN('Proje girdileri'!I27:X27)&gt;=0,MAX('Proje girdileri'!I27:X27)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girdileri'!I27:X27,'Proje girdileri'!$I$3:$X$3)/5*100,"n.a.")</x:f>
        <x:v>51.9</x:v>
      </x:c>
      <x:c r="F27" s="2" t="n">
        <x:f>IF(OR(COUNT('Ayarlar'!$B$5:$B$9)&lt;&gt;5,MIN('Ayarlar'!$B$5:$B$7)&lt;=0,MIN('Ayarlar'!$B$8:$B$9)&lt;0,NOT(ISNUMBER(H27)),H27&lt;=0),"n.a.",ROUNDUP(('Ayarlar'!$B$5+'Proje girdileri'!AI27+'Ayarlar'!$B$6*'Proje girdileri'!AJ27)/H27,0))</x:f>
        <x:v>12</x:v>
      </x:c>
      <x:c r="G27" s="2" t="n">
        <x:f>IF(OR('Proje girdileri'!C27="internal",'Proje girdileri'!AE27+'Proje girdileri'!AF27+'Proje girdileri'!AG27*U27&lt;=0),0,MAX(0,ROUNDDOWN((MIN(T27*'Ayarlar'!$B$7,'Ayarlar'!$B$6*52/12*'Ayarlar'!$B$7-'Proje girdileri'!AD27)-T27*'Proje girdileri'!AK27)/('Proje girdileri'!AE27+'Proje girdileri'!AF27+'Proje girdileri'!AG27*U27),0)))</x:f>
        <x:v>8</x:v>
      </x:c>
      <x:c r="H27" s="24" t="n">
        <x:f>IF(COUNT('Proje girdileri'!Y27:AL27)&lt;&gt;14,"n.a.",('Proje girdileri'!Y27*(1-'Proje girdileri'!AA27-'Proje girdileri'!AB27)-'Proje girdileri'!Z27)*U27)</x:f>
        <x:v>276</x:v>
      </x:c>
      <x:c r="I27" s="24" t="n">
        <x:f>IF(ISNUMBER(H27),IF(H27&gt;0,MIN('Proje girdileri'!AL27,G27),0),"n.a.")</x:f>
        <x:v>4</x:v>
      </x:c>
      <x:c r="J27" s="24" t="n">
        <x:f>IF(ISNUMBER(H27),I27*H27-'Proje girdileri'!AI27-'Ayarlar'!$B$6*'Proje girdileri'!AJ27,"n.a.")</x:f>
        <x:v>864</x:v>
      </x:c>
      <x:c r="K27" s="23" t="n">
        <x:f>IF(ISNUMBER(I27),'Proje girdileri'!AD27+T27*'Proje girdileri'!AK27+I27*('Proje girdileri'!AE27+'Proje girdileri'!AF27+'Proje girdileri'!AG27*U27),"n.a.")</x:f>
        <x:v>75</x:v>
      </x:c>
      <x:c r="L27" s="23" t="n">
        <x:f>IF(ISNUMBER(J27),J27-K27*'Ayarlar'!$B$9,"n.a.")</x:f>
        <x:v>-1011</x:v>
      </x:c>
      <x:c r="M27" s="23" t="n">
        <x:f>IF(AND(ISNUMBER(K27),'Ayarlar'!$B$6&gt;0),K27/('Ayarlar'!$B$6*52/12),"n.a.")</x:f>
        <x:v>2.8846153846153846</x:v>
      </x:c>
      <x:c r="N27" s="2" t="str">
        <x:f>IF('Proje girdileri'!AI27&lt;='Ayarlar'!$B$8,"Sığar","Aşar")</x:f>
        <x:v>Sığar</x:v>
      </x:c>
      <x:c r="O27" s="2" t="str">
        <x:f>IF(ISNUMBER(F27),IF(F27&lt;=G27,"Sığar","Aşar"),"n.a.")</x:f>
        <x:v>Aşar</x:v>
      </x:c>
      <x:c r="P27" s="2" t="n">
        <x:f>IF(OR(C27="Kapsam/engel",NOT(ISNUMBER(D27))),"n.a.",COUNTIFS($D$5:$D$50,"&gt;"&amp;D27,$C$5:$C$50,"&lt;&gt;Kapsam/engel")+COUNTIFS($D$5:D27,D27,$C$5:C27,"&lt;&gt;Kapsam/engel"))</x:f>
        <x:v>5</x:v>
      </x:c>
      <x:c r="Q27" s="2" t="n">
        <x:f>IF(OR(C27="Kapsam/engel",NOT(ISNUMBER(E27))),"n.a.",COUNTIFS($E$5:$E$50,"&gt;"&amp;E27,$C$5:$C$50,"&lt;&gt;Kapsam/engel")+COUNTIFS($E$5:E27,E27,$C$5:C27,"&lt;&gt;Kapsam/engel"))</x:f>
        <x:v>6</x:v>
      </x:c>
      <x:c r="R27" s="2" t="str">
        <x:f>IF(AND(C27="Geçti",N27="Sığar",O27="Sığar"),COUNTIFS($D$5:$D$50,"&gt;"&amp;D27,$C$5:$C$50,"Geçti",$N$5:$N$50,"Sığar",$O$5:$O$50,"Sığar")+COUNTIFS($D$5:D27,D27,$C$5:C27,"Geçti",$N$5:N27,"Sığar",$O$5:O27,"Sığar"),"n.a.")</x:f>
        <x:v>n.a.</x:v>
      </x:c>
      <x:c r="S27" s="24" t="n">
        <x:f>IF(ISNUMBER(J27),J27-MAX(0,J27)*'Ayarlar'!$B$10,"n.a.")</x:f>
        <x:v>864</x:v>
      </x:c>
      <x:c r="T27" s="2" t="n">
        <x:f>IF('Ayarlar'!$B$7&lt;=0,0,MAX(0,'Ayarlar'!$B$6*52/12-MAX('Proje girdileri'!AC27,ROUNDUP('Proje girdileri'!AD27/'Ayarlar'!$B$7,0))))</x:f>
        <x:v>22</x:v>
      </x:c>
      <x:c r="U27" s="2" t="n">
        <x:f>IF(T27=0,0,IF('Proje girdileri'!C27="recurring",IF(MAX(0,'Ayarlar'!$B$6-IF('Ayarlar'!$B$7&lt;=0,99,ROUNDUP(MAX('Proje girdileri'!AC27,ROUNDUP('Proje girdileri'!AD27/'Ayarlar'!$B$7,0))/(52/12),0)))=0,0,(IF(AND(1&gt;IF('Ayarlar'!$B$7&lt;=0,99,ROUNDUP(MAX('Proje girdileri'!AC27,ROUNDUP('Proje girdileri'!AD27/'Ayarlar'!$B$7,0))/(52/12),0)),1&lt;='Ayarlar'!$B$6),IF('Proje girdileri'!AT27=0,MIN('Proje girdileri'!AH27,'Ayarlar'!$B$6-1+1),(1-POWER(1-'Proje girdileri'!AT27,MIN('Proje girdileri'!AH27,'Ayarlar'!$B$6-1+1)))/'Proje girdileri'!AT27),0)+IF(AND(2&gt;IF('Ayarlar'!$B$7&lt;=0,99,ROUNDUP(MAX('Proje girdileri'!AC27,ROUNDUP('Proje girdileri'!AD27/'Ayarlar'!$B$7,0))/(52/12),0)),2&lt;='Ayarlar'!$B$6),IF('Proje girdileri'!AT27=0,MIN('Proje girdileri'!AH27,'Ayarlar'!$B$6-2+1),(1-POWER(1-'Proje girdileri'!AT27,MIN('Proje girdileri'!AH27,'Ayarlar'!$B$6-2+1)))/'Proje girdileri'!AT27),0)+IF(AND(3&gt;IF('Ayarlar'!$B$7&lt;=0,99,ROUNDUP(MAX('Proje girdileri'!AC27,ROUNDUP('Proje girdileri'!AD27/'Ayarlar'!$B$7,0))/(52/12),0)),3&lt;='Ayarlar'!$B$6),IF('Proje girdileri'!AT27=0,MIN('Proje girdileri'!AH27,'Ayarlar'!$B$6-3+1),(1-POWER(1-'Proje girdileri'!AT27,MIN('Proje girdileri'!AH27,'Ayarlar'!$B$6-3+1)))/'Proje girdileri'!AT27),0)+IF(AND(4&gt;IF('Ayarlar'!$B$7&lt;=0,99,ROUNDUP(MAX('Proje girdileri'!AC27,ROUNDUP('Proje girdileri'!AD27/'Ayarlar'!$B$7,0))/(52/12),0)),4&lt;='Ayarlar'!$B$6),IF('Proje girdileri'!AT27=0,MIN('Proje girdileri'!AH27,'Ayarlar'!$B$6-4+1),(1-POWER(1-'Proje girdileri'!AT27,MIN('Proje girdileri'!AH27,'Ayarlar'!$B$6-4+1)))/'Proje girdileri'!AT27),0)+IF(AND(5&gt;IF('Ayarlar'!$B$7&lt;=0,99,ROUNDUP(MAX('Proje girdileri'!AC27,ROUNDUP('Proje girdileri'!AD27/'Ayarlar'!$B$7,0))/(52/12),0)),5&lt;='Ayarlar'!$B$6),IF('Proje girdileri'!AT27=0,MIN('Proje girdileri'!AH27,'Ayarlar'!$B$6-5+1),(1-POWER(1-'Proje girdileri'!AT27,MIN('Proje girdileri'!AH27,'Ayarlar'!$B$6-5+1)))/'Proje girdileri'!AT27),0)+IF(AND(6&gt;IF('Ayarlar'!$B$7&lt;=0,99,ROUNDUP(MAX('Proje girdileri'!AC27,ROUNDUP('Proje girdileri'!AD27/'Ayarlar'!$B$7,0))/(52/12),0)),6&lt;='Ayarlar'!$B$6),IF('Proje girdileri'!AT27=0,MIN('Proje girdileri'!AH27,'Ayarlar'!$B$6-6+1),(1-POWER(1-'Proje girdileri'!AT27,MIN('Proje girdileri'!AH27,'Ayarlar'!$B$6-6+1)))/'Proje girdileri'!AT27),0)+IF(AND(7&gt;IF('Ayarlar'!$B$7&lt;=0,99,ROUNDUP(MAX('Proje girdileri'!AC27,ROUNDUP('Proje girdileri'!AD27/'Ayarlar'!$B$7,0))/(52/12),0)),7&lt;='Ayarlar'!$B$6),IF('Proje girdileri'!AT27=0,MIN('Proje girdileri'!AH27,'Ayarlar'!$B$6-7+1),(1-POWER(1-'Proje girdileri'!AT27,MIN('Proje girdileri'!AH27,'Ayarlar'!$B$6-7+1)))/'Proje girdileri'!AT27),0)+IF(AND(8&gt;IF('Ayarlar'!$B$7&lt;=0,99,ROUNDUP(MAX('Proje girdileri'!AC27,ROUNDUP('Proje girdileri'!AD27/'Ayarlar'!$B$7,0))/(52/12),0)),8&lt;='Ayarlar'!$B$6),IF('Proje girdileri'!AT27=0,MIN('Proje girdileri'!AH27,'Ayarlar'!$B$6-8+1),(1-POWER(1-'Proje girdileri'!AT27,MIN('Proje girdileri'!AH27,'Ayarlar'!$B$6-8+1)))/'Proje girdileri'!AT27),0)+IF(AND(9&gt;IF('Ayarlar'!$B$7&lt;=0,99,ROUNDUP(MAX('Proje girdileri'!AC27,ROUNDUP('Proje girdileri'!AD27/'Ayarlar'!$B$7,0))/(52/12),0)),9&lt;='Ayarlar'!$B$6),IF('Proje girdileri'!AT27=0,MIN('Proje girdileri'!AH27,'Ayarlar'!$B$6-9+1),(1-POWER(1-'Proje girdileri'!AT27,MIN('Proje girdileri'!AH27,'Ayarlar'!$B$6-9+1)))/'Proje girdileri'!AT27),0)+IF(AND(10&gt;IF('Ayarlar'!$B$7&lt;=0,99,ROUNDUP(MAX('Proje girdileri'!AC27,ROUNDUP('Proje girdileri'!AD27/'Ayarlar'!$B$7,0))/(52/12),0)),10&lt;='Ayarlar'!$B$6),IF('Proje girdileri'!AT27=0,MIN('Proje girdileri'!AH27,'Ayarlar'!$B$6-10+1),(1-POWER(1-'Proje girdileri'!AT27,MIN('Proje girdileri'!AH27,'Ayarlar'!$B$6-10+1)))/'Proje girdileri'!AT27),0)+IF(AND(11&gt;IF('Ayarlar'!$B$7&lt;=0,99,ROUNDUP(MAX('Proje girdileri'!AC27,ROUNDUP('Proje girdileri'!AD27/'Ayarlar'!$B$7,0))/(52/12),0)),11&lt;='Ayarlar'!$B$6),IF('Proje girdileri'!AT27=0,MIN('Proje girdileri'!AH27,'Ayarlar'!$B$6-11+1),(1-POWER(1-'Proje girdileri'!AT27,MIN('Proje girdileri'!AH27,'Ayarlar'!$B$6-11+1)))/'Proje girdileri'!AT27),0)+IF(AND(12&gt;IF('Ayarlar'!$B$7&lt;=0,99,ROUNDUP(MAX('Proje girdileri'!AC27,ROUNDUP('Proje girdileri'!AD27/'Ayarlar'!$B$7,0))/(52/12),0)),12&lt;='Ayarlar'!$B$6),IF('Proje girdileri'!AT27=0,MIN('Proje girdileri'!AH27,'Ayarlar'!$B$6-12+1),(1-POWER(1-'Proje girdileri'!AT27,MIN('Proje girdileri'!AH27,'Ayarlar'!$B$6-12+1)))/'Proje girdileri'!AT27),0))/MAX(0,'Ayarlar'!$B$6-IF('Ayarlar'!$B$7&lt;=0,99,ROUNDUP(MAX('Proje girdileri'!AC27,ROUNDUP('Proje girdileri'!AD27/'Ayarlar'!$B$7,0))/(52/12),0)))),1))</x:f>
        <x:v>1</x:v>
      </x:c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 t="str">
        <x:f>'Proje girdileri'!A28</x:f>
        <x:v>Aile-24</x:v>
      </x:c>
      <x:c r="B28" s="2" t="str">
        <x:f>'Proje girdileri'!B28</x:f>
        <x:v>Hakediş mutabakatı</x:v>
      </x:c>
      <x:c r="C28" s="2" t="str">
        <x:f>IF(OR(COUNT('Proje girdileri'!D28:H28)&lt;&gt;5,MIN('Proje girdileri'!D28:H28)&lt;0,MAX('Proje girdileri'!D28:H28)&gt;2),"Yalnız deney",IF(MIN('Proje girdileri'!D28:H28)=0,"Kapsam/engel",IF(MIN('Proje girdileri'!D28:H28)=1,"Yalnız deney","Geçti")))</x:f>
        <x:v>Yalnız deney</x:v>
      </x:c>
      <x:c r="D28" s="23" t="n">
        <x:f>IF(AND(COUNT('Proje girdileri'!I28:X28)=16,MIN('Proje girdileri'!I28:X28)&gt;=0,MAX('Proje girdileri'!I28:X28)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girdileri'!I28:X28,'Proje girdileri'!$I$2:$X$2)/5*100,"n.a.")</x:f>
        <x:v>53.6</x:v>
      </x:c>
      <x:c r="E28" s="23" t="n">
        <x:f>IF(AND(COUNT('Proje girdileri'!I28:X28)=16,MIN('Proje girdileri'!I28:X28)&gt;=0,MAX('Proje girdileri'!I28:X28)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girdileri'!I28:X28,'Proje girdileri'!$I$3:$X$3)/5*100,"n.a.")</x:f>
        <x:v>52.300000000000004</x:v>
      </x:c>
      <x:c r="F28" s="2" t="n">
        <x:f>IF(OR(COUNT('Ayarlar'!$B$5:$B$9)&lt;&gt;5,MIN('Ayarlar'!$B$5:$B$7)&lt;=0,MIN('Ayarlar'!$B$8:$B$9)&lt;0,NOT(ISNUMBER(H28)),H28&lt;=0),"n.a.",ROUNDUP(('Ayarlar'!$B$5+'Proje girdileri'!AI28+'Ayarlar'!$B$6*'Proje girdileri'!AJ28)/H28,0))</x:f>
        <x:v>14</x:v>
      </x:c>
      <x:c r="G28" s="2" t="n">
        <x:f>IF(OR('Proje girdileri'!C28="internal",'Proje girdileri'!AE28+'Proje girdileri'!AF28+'Proje girdileri'!AG28*U28&lt;=0),0,MAX(0,ROUNDDOWN((MIN(T28*'Ayarlar'!$B$7,'Ayarlar'!$B$6*52/12*'Ayarlar'!$B$7-'Proje girdileri'!AD28)-T28*'Proje girdileri'!AK28)/('Proje girdileri'!AE28+'Proje girdileri'!AF28+'Proje girdileri'!AG28*U28),0)))</x:f>
        <x:v>13</x:v>
      </x:c>
      <x:c r="H28" s="24" t="n">
        <x:f>IF(COUNT('Proje girdileri'!Y28:AL28)&lt;&gt;14,"n.a.",('Proje girdileri'!Y28*(1-'Proje girdileri'!AA28-'Proje girdileri'!AB28)-'Proje girdileri'!Z28)*U28)</x:f>
        <x:v>239</x:v>
      </x:c>
      <x:c r="I28" s="24" t="n">
        <x:f>IF(ISNUMBER(H28),IF(H28&gt;0,MIN('Proje girdileri'!AL28,G28),0),"n.a.")</x:f>
        <x:v>12</x:v>
      </x:c>
      <x:c r="J28" s="24" t="n">
        <x:f>IF(ISNUMBER(H28),I28*H28-'Proje girdileri'!AI28-'Ayarlar'!$B$6*'Proje girdileri'!AJ28,"n.a.")</x:f>
        <x:v>2708</x:v>
      </x:c>
      <x:c r="K28" s="23" t="n">
        <x:f>IF(ISNUMBER(I28),'Proje girdileri'!AD28+T28*'Proje girdileri'!AK28+I28*('Proje girdileri'!AE28+'Proje girdileri'!AF28+'Proje girdileri'!AG28*U28),"n.a.")</x:f>
        <x:v>121.30000000000001</x:v>
      </x:c>
      <x:c r="L28" s="23" t="n">
        <x:f>IF(ISNUMBER(J28),J28-K28*'Ayarlar'!$B$9,"n.a.")</x:f>
        <x:v>-324.50000000000045</x:v>
      </x:c>
      <x:c r="M28" s="23" t="n">
        <x:f>IF(AND(ISNUMBER(K28),'Ayarlar'!$B$6&gt;0),K28/('Ayarlar'!$B$6*52/12),"n.a.")</x:f>
        <x:v>4.665384615384616</x:v>
      </x:c>
      <x:c r="N28" s="2" t="str">
        <x:f>IF('Proje girdileri'!AI28&lt;='Ayarlar'!$B$8,"Sığar","Aşar")</x:f>
        <x:v>Sığar</x:v>
      </x:c>
      <x:c r="O28" s="2" t="str">
        <x:f>IF(ISNUMBER(F28),IF(F28&lt;=G28,"Sığar","Aşar"),"n.a.")</x:f>
        <x:v>Aşar</x:v>
      </x:c>
      <x:c r="P28" s="2" t="n">
        <x:f>IF(OR(C28="Kapsam/engel",NOT(ISNUMBER(D28))),"n.a.",COUNTIFS($D$5:$D$50,"&gt;"&amp;D28,$C$5:$C$50,"&lt;&gt;Kapsam/engel")+COUNTIFS($D$5:D28,D28,$C$5:C28,"&lt;&gt;Kapsam/engel"))</x:f>
        <x:v>3</x:v>
      </x:c>
      <x:c r="Q28" s="2" t="n">
        <x:f>IF(OR(C28="Kapsam/engel",NOT(ISNUMBER(E28))),"n.a.",COUNTIFS($E$5:$E$50,"&gt;"&amp;E28,$C$5:$C$50,"&lt;&gt;Kapsam/engel")+COUNTIFS($E$5:E28,E28,$C$5:C28,"&lt;&gt;Kapsam/engel"))</x:f>
        <x:v>3</x:v>
      </x:c>
      <x:c r="R28" s="2" t="str">
        <x:f>IF(AND(C28="Geçti",N28="Sığar",O28="Sığar"),COUNTIFS($D$5:$D$50,"&gt;"&amp;D28,$C$5:$C$50,"Geçti",$N$5:$N$50,"Sığar",$O$5:$O$50,"Sığar")+COUNTIFS($D$5:D28,D28,$C$5:C28,"Geçti",$N$5:N28,"Sığar",$O$5:O28,"Sığar"),"n.a.")</x:f>
        <x:v>n.a.</x:v>
      </x:c>
      <x:c r="S28" s="24" t="n">
        <x:f>IF(ISNUMBER(J28),J28-MAX(0,J28)*'Ayarlar'!$B$10,"n.a.")</x:f>
        <x:v>2708</x:v>
      </x:c>
      <x:c r="T28" s="2" t="n">
        <x:f>IF('Ayarlar'!$B$7&lt;=0,0,MAX(0,'Ayarlar'!$B$6*52/12-MAX('Proje girdileri'!AC28,ROUNDUP('Proje girdileri'!AD28/'Ayarlar'!$B$7,0))))</x:f>
        <x:v>21</x:v>
      </x:c>
      <x:c r="U28" s="2" t="n">
        <x:f>IF(T28=0,0,IF('Proje girdileri'!C28="recurring",IF(MAX(0,'Ayarlar'!$B$6-IF('Ayarlar'!$B$7&lt;=0,99,ROUNDUP(MAX('Proje girdileri'!AC28,ROUNDUP('Proje girdileri'!AD28/'Ayarlar'!$B$7,0))/(52/12),0)))=0,0,(IF(AND(1&gt;IF('Ayarlar'!$B$7&lt;=0,99,ROUNDUP(MAX('Proje girdileri'!AC28,ROUNDUP('Proje girdileri'!AD28/'Ayarlar'!$B$7,0))/(52/12),0)),1&lt;='Ayarlar'!$B$6),IF('Proje girdileri'!AT28=0,MIN('Proje girdileri'!AH28,'Ayarlar'!$B$6-1+1),(1-POWER(1-'Proje girdileri'!AT28,MIN('Proje girdileri'!AH28,'Ayarlar'!$B$6-1+1)))/'Proje girdileri'!AT28),0)+IF(AND(2&gt;IF('Ayarlar'!$B$7&lt;=0,99,ROUNDUP(MAX('Proje girdileri'!AC28,ROUNDUP('Proje girdileri'!AD28/'Ayarlar'!$B$7,0))/(52/12),0)),2&lt;='Ayarlar'!$B$6),IF('Proje girdileri'!AT28=0,MIN('Proje girdileri'!AH28,'Ayarlar'!$B$6-2+1),(1-POWER(1-'Proje girdileri'!AT28,MIN('Proje girdileri'!AH28,'Ayarlar'!$B$6-2+1)))/'Proje girdileri'!AT28),0)+IF(AND(3&gt;IF('Ayarlar'!$B$7&lt;=0,99,ROUNDUP(MAX('Proje girdileri'!AC28,ROUNDUP('Proje girdileri'!AD28/'Ayarlar'!$B$7,0))/(52/12),0)),3&lt;='Ayarlar'!$B$6),IF('Proje girdileri'!AT28=0,MIN('Proje girdileri'!AH28,'Ayarlar'!$B$6-3+1),(1-POWER(1-'Proje girdileri'!AT28,MIN('Proje girdileri'!AH28,'Ayarlar'!$B$6-3+1)))/'Proje girdileri'!AT28),0)+IF(AND(4&gt;IF('Ayarlar'!$B$7&lt;=0,99,ROUNDUP(MAX('Proje girdileri'!AC28,ROUNDUP('Proje girdileri'!AD28/'Ayarlar'!$B$7,0))/(52/12),0)),4&lt;='Ayarlar'!$B$6),IF('Proje girdileri'!AT28=0,MIN('Proje girdileri'!AH28,'Ayarlar'!$B$6-4+1),(1-POWER(1-'Proje girdileri'!AT28,MIN('Proje girdileri'!AH28,'Ayarlar'!$B$6-4+1)))/'Proje girdileri'!AT28),0)+IF(AND(5&gt;IF('Ayarlar'!$B$7&lt;=0,99,ROUNDUP(MAX('Proje girdileri'!AC28,ROUNDUP('Proje girdileri'!AD28/'Ayarlar'!$B$7,0))/(52/12),0)),5&lt;='Ayarlar'!$B$6),IF('Proje girdileri'!AT28=0,MIN('Proje girdileri'!AH28,'Ayarlar'!$B$6-5+1),(1-POWER(1-'Proje girdileri'!AT28,MIN('Proje girdileri'!AH28,'Ayarlar'!$B$6-5+1)))/'Proje girdileri'!AT28),0)+IF(AND(6&gt;IF('Ayarlar'!$B$7&lt;=0,99,ROUNDUP(MAX('Proje girdileri'!AC28,ROUNDUP('Proje girdileri'!AD28/'Ayarlar'!$B$7,0))/(52/12),0)),6&lt;='Ayarlar'!$B$6),IF('Proje girdileri'!AT28=0,MIN('Proje girdileri'!AH28,'Ayarlar'!$B$6-6+1),(1-POWER(1-'Proje girdileri'!AT28,MIN('Proje girdileri'!AH28,'Ayarlar'!$B$6-6+1)))/'Proje girdileri'!AT28),0)+IF(AND(7&gt;IF('Ayarlar'!$B$7&lt;=0,99,ROUNDUP(MAX('Proje girdileri'!AC28,ROUNDUP('Proje girdileri'!AD28/'Ayarlar'!$B$7,0))/(52/12),0)),7&lt;='Ayarlar'!$B$6),IF('Proje girdileri'!AT28=0,MIN('Proje girdileri'!AH28,'Ayarlar'!$B$6-7+1),(1-POWER(1-'Proje girdileri'!AT28,MIN('Proje girdileri'!AH28,'Ayarlar'!$B$6-7+1)))/'Proje girdileri'!AT28),0)+IF(AND(8&gt;IF('Ayarlar'!$B$7&lt;=0,99,ROUNDUP(MAX('Proje girdileri'!AC28,ROUNDUP('Proje girdileri'!AD28/'Ayarlar'!$B$7,0))/(52/12),0)),8&lt;='Ayarlar'!$B$6),IF('Proje girdileri'!AT28=0,MIN('Proje girdileri'!AH28,'Ayarlar'!$B$6-8+1),(1-POWER(1-'Proje girdileri'!AT28,MIN('Proje girdileri'!AH28,'Ayarlar'!$B$6-8+1)))/'Proje girdileri'!AT28),0)+IF(AND(9&gt;IF('Ayarlar'!$B$7&lt;=0,99,ROUNDUP(MAX('Proje girdileri'!AC28,ROUNDUP('Proje girdileri'!AD28/'Ayarlar'!$B$7,0))/(52/12),0)),9&lt;='Ayarlar'!$B$6),IF('Proje girdileri'!AT28=0,MIN('Proje girdileri'!AH28,'Ayarlar'!$B$6-9+1),(1-POWER(1-'Proje girdileri'!AT28,MIN('Proje girdileri'!AH28,'Ayarlar'!$B$6-9+1)))/'Proje girdileri'!AT28),0)+IF(AND(10&gt;IF('Ayarlar'!$B$7&lt;=0,99,ROUNDUP(MAX('Proje girdileri'!AC28,ROUNDUP('Proje girdileri'!AD28/'Ayarlar'!$B$7,0))/(52/12),0)),10&lt;='Ayarlar'!$B$6),IF('Proje girdileri'!AT28=0,MIN('Proje girdileri'!AH28,'Ayarlar'!$B$6-10+1),(1-POWER(1-'Proje girdileri'!AT28,MIN('Proje girdileri'!AH28,'Ayarlar'!$B$6-10+1)))/'Proje girdileri'!AT28),0)+IF(AND(11&gt;IF('Ayarlar'!$B$7&lt;=0,99,ROUNDUP(MAX('Proje girdileri'!AC28,ROUNDUP('Proje girdileri'!AD28/'Ayarlar'!$B$7,0))/(52/12),0)),11&lt;='Ayarlar'!$B$6),IF('Proje girdileri'!AT28=0,MIN('Proje girdileri'!AH28,'Ayarlar'!$B$6-11+1),(1-POWER(1-'Proje girdileri'!AT28,MIN('Proje girdileri'!AH28,'Ayarlar'!$B$6-11+1)))/'Proje girdileri'!AT28),0)+IF(AND(12&gt;IF('Ayarlar'!$B$7&lt;=0,99,ROUNDUP(MAX('Proje girdileri'!AC28,ROUNDUP('Proje girdileri'!AD28/'Ayarlar'!$B$7,0))/(52/12),0)),12&lt;='Ayarlar'!$B$6),IF('Proje girdileri'!AT28=0,MIN('Proje girdileri'!AH28,'Ayarlar'!$B$6-12+1),(1-POWER(1-'Proje girdileri'!AT28,MIN('Proje girdileri'!AH28,'Ayarlar'!$B$6-12+1)))/'Proje girdileri'!AT28),0))/MAX(0,'Ayarlar'!$B$6-IF('Ayarlar'!$B$7&lt;=0,99,ROUNDUP(MAX('Proje girdileri'!AC28,ROUNDUP('Proje girdileri'!AD28/'Ayarlar'!$B$7,0))/(52/12),0)))),1))</x:f>
        <x:v>1</x:v>
      </x:c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 t="str">
        <x:f>'Proje girdileri'!A29</x:f>
        <x:v>Aile-25</x:v>
      </x:c>
      <x:c r="B29" s="2" t="str">
        <x:f>'Proje girdileri'!B29</x:f>
        <x:v>B2B likidite teşhisi</x:v>
      </x:c>
      <x:c r="C29" s="2" t="str">
        <x:f>IF(OR(COUNT('Proje girdileri'!D29:H29)&lt;&gt;5,MIN('Proje girdileri'!D29:H29)&lt;0,MAX('Proje girdileri'!D29:H29)&gt;2),"Yalnız deney",IF(MIN('Proje girdileri'!D29:H29)=0,"Kapsam/engel",IF(MIN('Proje girdileri'!D29:H29)=1,"Yalnız deney","Geçti")))</x:f>
        <x:v>Yalnız deney</x:v>
      </x:c>
      <x:c r="D29" s="23" t="n">
        <x:f>IF(AND(COUNT('Proje girdileri'!I29:X29)=16,MIN('Proje girdileri'!I29:X29)&gt;=0,MAX('Proje girdileri'!I29:X29)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girdileri'!I29:X29,'Proje girdileri'!$I$2:$X$2)/5*100,"n.a.")</x:f>
        <x:v>37.00000000000001</x:v>
      </x:c>
      <x:c r="E29" s="23" t="n">
        <x:f>IF(AND(COUNT('Proje girdileri'!I29:X29)=16,MIN('Proje girdileri'!I29:X29)&gt;=0,MAX('Proje girdileri'!I29:X29)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girdileri'!I29:X29,'Proje girdileri'!$I$3:$X$3)/5*100,"n.a.")</x:f>
        <x:v>35.30000000000001</x:v>
      </x:c>
      <x:c r="F29" s="2" t="n">
        <x:f>IF(OR(COUNT('Ayarlar'!$B$5:$B$9)&lt;&gt;5,MIN('Ayarlar'!$B$5:$B$7)&lt;=0,MIN('Ayarlar'!$B$8:$B$9)&lt;0,NOT(ISNUMBER(H29)),H29&lt;=0),"n.a.",ROUNDUP(('Ayarlar'!$B$5+'Proje girdileri'!AI29+'Ayarlar'!$B$6*'Proje girdileri'!AJ29)/H29,0))</x:f>
        <x:v>5</x:v>
      </x:c>
      <x:c r="G29" s="2" t="n">
        <x:f>IF(OR('Proje girdileri'!C29="internal",'Proje girdileri'!AE29+'Proje girdileri'!AF29+'Proje girdileri'!AG29*U29&lt;=0),0,MAX(0,ROUNDDOWN((MIN(T29*'Ayarlar'!$B$7,'Ayarlar'!$B$6*52/12*'Ayarlar'!$B$7-'Proje girdileri'!AD29)-T29*'Proje girdileri'!AK29)/('Proje girdileri'!AE29+'Proje girdileri'!AF29+'Proje girdileri'!AG29*U29),0)))</x:f>
        <x:v>6</x:v>
      </x:c>
      <x:c r="H29" s="24" t="n">
        <x:f>IF(COUNT('Proje girdileri'!Y29:AL29)&lt;&gt;14,"n.a.",('Proje girdileri'!Y29*(1-'Proje girdileri'!AA29-'Proje girdileri'!AB29)-'Proje girdileri'!Z29)*U29)</x:f>
        <x:v>652</x:v>
      </x:c>
      <x:c r="I29" s="24" t="n">
        <x:f>IF(ISNUMBER(H29),IF(H29&gt;0,MIN('Proje girdileri'!AL29,G29),0),"n.a.")</x:f>
        <x:v>3</x:v>
      </x:c>
      <x:c r="J29" s="24" t="n">
        <x:f>IF(ISNUMBER(H29),I29*H29-'Proje girdileri'!AI29-'Ayarlar'!$B$6*'Proje girdileri'!AJ29,"n.a.")</x:f>
        <x:v>1716</x:v>
      </x:c>
      <x:c r="K29" s="23" t="n">
        <x:f>IF(ISNUMBER(I29),'Proje girdileri'!AD29+T29*'Proje girdileri'!AK29+I29*('Proje girdileri'!AE29+'Proje girdileri'!AF29+'Proje girdileri'!AG29*U29),"n.a.")</x:f>
        <x:v>77.5</x:v>
      </x:c>
      <x:c r="L29" s="23" t="n">
        <x:f>IF(ISNUMBER(J29),J29-K29*'Ayarlar'!$B$9,"n.a.")</x:f>
        <x:v>-221.5</x:v>
      </x:c>
      <x:c r="M29" s="23" t="n">
        <x:f>IF(AND(ISNUMBER(K29),'Ayarlar'!$B$6&gt;0),K29/('Ayarlar'!$B$6*52/12),"n.a.")</x:f>
        <x:v>2.980769230769231</x:v>
      </x:c>
      <x:c r="N29" s="2" t="str">
        <x:f>IF('Proje girdileri'!AI29&lt;='Ayarlar'!$B$8,"Sığar","Aşar")</x:f>
        <x:v>Sığar</x:v>
      </x:c>
      <x:c r="O29" s="2" t="str">
        <x:f>IF(ISNUMBER(F29),IF(F29&lt;=G29,"Sığar","Aşar"),"n.a.")</x:f>
        <x:v>Sığar</x:v>
      </x:c>
      <x:c r="P29" s="2" t="n">
        <x:f>IF(OR(C29="Kapsam/engel",NOT(ISNUMBER(D29))),"n.a.",COUNTIFS($D$5:$D$50,"&gt;"&amp;D29,$C$5:$C$50,"&lt;&gt;Kapsam/engel")+COUNTIFS($D$5:D29,D29,$C$5:C29,"&lt;&gt;Kapsam/engel"))</x:f>
        <x:v>38</x:v>
      </x:c>
      <x:c r="Q29" s="2" t="n">
        <x:f>IF(OR(C29="Kapsam/engel",NOT(ISNUMBER(E29))),"n.a.",COUNTIFS($E$5:$E$50,"&gt;"&amp;E29,$C$5:$C$50,"&lt;&gt;Kapsam/engel")+COUNTIFS($E$5:E29,E29,$C$5:C29,"&lt;&gt;Kapsam/engel"))</x:f>
        <x:v>38</x:v>
      </x:c>
      <x:c r="R29" s="2" t="str">
        <x:f>IF(AND(C29="Geçti",N29="Sığar",O29="Sığar"),COUNTIFS($D$5:$D$50,"&gt;"&amp;D29,$C$5:$C$50,"Geçti",$N$5:$N$50,"Sığar",$O$5:$O$50,"Sığar")+COUNTIFS($D$5:D29,D29,$C$5:C29,"Geçti",$N$5:N29,"Sığar",$O$5:O29,"Sığar"),"n.a.")</x:f>
        <x:v>n.a.</x:v>
      </x:c>
      <x:c r="S29" s="24" t="n">
        <x:f>IF(ISNUMBER(J29),J29-MAX(0,J29)*'Ayarlar'!$B$10,"n.a.")</x:f>
        <x:v>1716</x:v>
      </x:c>
      <x:c r="T29" s="2" t="n">
        <x:f>IF('Ayarlar'!$B$7&lt;=0,0,MAX(0,'Ayarlar'!$B$6*52/12-MAX('Proje girdileri'!AC29,ROUNDUP('Proje girdileri'!AD29/'Ayarlar'!$B$7,0))))</x:f>
        <x:v>22</x:v>
      </x:c>
      <x:c r="U29" s="2" t="n">
        <x:f>IF(T29=0,0,IF('Proje girdileri'!C29="recurring",IF(MAX(0,'Ayarlar'!$B$6-IF('Ayarlar'!$B$7&lt;=0,99,ROUNDUP(MAX('Proje girdileri'!AC29,ROUNDUP('Proje girdileri'!AD29/'Ayarlar'!$B$7,0))/(52/12),0)))=0,0,(IF(AND(1&gt;IF('Ayarlar'!$B$7&lt;=0,99,ROUNDUP(MAX('Proje girdileri'!AC29,ROUNDUP('Proje girdileri'!AD29/'Ayarlar'!$B$7,0))/(52/12),0)),1&lt;='Ayarlar'!$B$6),IF('Proje girdileri'!AT29=0,MIN('Proje girdileri'!AH29,'Ayarlar'!$B$6-1+1),(1-POWER(1-'Proje girdileri'!AT29,MIN('Proje girdileri'!AH29,'Ayarlar'!$B$6-1+1)))/'Proje girdileri'!AT29),0)+IF(AND(2&gt;IF('Ayarlar'!$B$7&lt;=0,99,ROUNDUP(MAX('Proje girdileri'!AC29,ROUNDUP('Proje girdileri'!AD29/'Ayarlar'!$B$7,0))/(52/12),0)),2&lt;='Ayarlar'!$B$6),IF('Proje girdileri'!AT29=0,MIN('Proje girdileri'!AH29,'Ayarlar'!$B$6-2+1),(1-POWER(1-'Proje girdileri'!AT29,MIN('Proje girdileri'!AH29,'Ayarlar'!$B$6-2+1)))/'Proje girdileri'!AT29),0)+IF(AND(3&gt;IF('Ayarlar'!$B$7&lt;=0,99,ROUNDUP(MAX('Proje girdileri'!AC29,ROUNDUP('Proje girdileri'!AD29/'Ayarlar'!$B$7,0))/(52/12),0)),3&lt;='Ayarlar'!$B$6),IF('Proje girdileri'!AT29=0,MIN('Proje girdileri'!AH29,'Ayarlar'!$B$6-3+1),(1-POWER(1-'Proje girdileri'!AT29,MIN('Proje girdileri'!AH29,'Ayarlar'!$B$6-3+1)))/'Proje girdileri'!AT29),0)+IF(AND(4&gt;IF('Ayarlar'!$B$7&lt;=0,99,ROUNDUP(MAX('Proje girdileri'!AC29,ROUNDUP('Proje girdileri'!AD29/'Ayarlar'!$B$7,0))/(52/12),0)),4&lt;='Ayarlar'!$B$6),IF('Proje girdileri'!AT29=0,MIN('Proje girdileri'!AH29,'Ayarlar'!$B$6-4+1),(1-POWER(1-'Proje girdileri'!AT29,MIN('Proje girdileri'!AH29,'Ayarlar'!$B$6-4+1)))/'Proje girdileri'!AT29),0)+IF(AND(5&gt;IF('Ayarlar'!$B$7&lt;=0,99,ROUNDUP(MAX('Proje girdileri'!AC29,ROUNDUP('Proje girdileri'!AD29/'Ayarlar'!$B$7,0))/(52/12),0)),5&lt;='Ayarlar'!$B$6),IF('Proje girdileri'!AT29=0,MIN('Proje girdileri'!AH29,'Ayarlar'!$B$6-5+1),(1-POWER(1-'Proje girdileri'!AT29,MIN('Proje girdileri'!AH29,'Ayarlar'!$B$6-5+1)))/'Proje girdileri'!AT29),0)+IF(AND(6&gt;IF('Ayarlar'!$B$7&lt;=0,99,ROUNDUP(MAX('Proje girdileri'!AC29,ROUNDUP('Proje girdileri'!AD29/'Ayarlar'!$B$7,0))/(52/12),0)),6&lt;='Ayarlar'!$B$6),IF('Proje girdileri'!AT29=0,MIN('Proje girdileri'!AH29,'Ayarlar'!$B$6-6+1),(1-POWER(1-'Proje girdileri'!AT29,MIN('Proje girdileri'!AH29,'Ayarlar'!$B$6-6+1)))/'Proje girdileri'!AT29),0)+IF(AND(7&gt;IF('Ayarlar'!$B$7&lt;=0,99,ROUNDUP(MAX('Proje girdileri'!AC29,ROUNDUP('Proje girdileri'!AD29/'Ayarlar'!$B$7,0))/(52/12),0)),7&lt;='Ayarlar'!$B$6),IF('Proje girdileri'!AT29=0,MIN('Proje girdileri'!AH29,'Ayarlar'!$B$6-7+1),(1-POWER(1-'Proje girdileri'!AT29,MIN('Proje girdileri'!AH29,'Ayarlar'!$B$6-7+1)))/'Proje girdileri'!AT29),0)+IF(AND(8&gt;IF('Ayarlar'!$B$7&lt;=0,99,ROUNDUP(MAX('Proje girdileri'!AC29,ROUNDUP('Proje girdileri'!AD29/'Ayarlar'!$B$7,0))/(52/12),0)),8&lt;='Ayarlar'!$B$6),IF('Proje girdileri'!AT29=0,MIN('Proje girdileri'!AH29,'Ayarlar'!$B$6-8+1),(1-POWER(1-'Proje girdileri'!AT29,MIN('Proje girdileri'!AH29,'Ayarlar'!$B$6-8+1)))/'Proje girdileri'!AT29),0)+IF(AND(9&gt;IF('Ayarlar'!$B$7&lt;=0,99,ROUNDUP(MAX('Proje girdileri'!AC29,ROUNDUP('Proje girdileri'!AD29/'Ayarlar'!$B$7,0))/(52/12),0)),9&lt;='Ayarlar'!$B$6),IF('Proje girdileri'!AT29=0,MIN('Proje girdileri'!AH29,'Ayarlar'!$B$6-9+1),(1-POWER(1-'Proje girdileri'!AT29,MIN('Proje girdileri'!AH29,'Ayarlar'!$B$6-9+1)))/'Proje girdileri'!AT29),0)+IF(AND(10&gt;IF('Ayarlar'!$B$7&lt;=0,99,ROUNDUP(MAX('Proje girdileri'!AC29,ROUNDUP('Proje girdileri'!AD29/'Ayarlar'!$B$7,0))/(52/12),0)),10&lt;='Ayarlar'!$B$6),IF('Proje girdileri'!AT29=0,MIN('Proje girdileri'!AH29,'Ayarlar'!$B$6-10+1),(1-POWER(1-'Proje girdileri'!AT29,MIN('Proje girdileri'!AH29,'Ayarlar'!$B$6-10+1)))/'Proje girdileri'!AT29),0)+IF(AND(11&gt;IF('Ayarlar'!$B$7&lt;=0,99,ROUNDUP(MAX('Proje girdileri'!AC29,ROUNDUP('Proje girdileri'!AD29/'Ayarlar'!$B$7,0))/(52/12),0)),11&lt;='Ayarlar'!$B$6),IF('Proje girdileri'!AT29=0,MIN('Proje girdileri'!AH29,'Ayarlar'!$B$6-11+1),(1-POWER(1-'Proje girdileri'!AT29,MIN('Proje girdileri'!AH29,'Ayarlar'!$B$6-11+1)))/'Proje girdileri'!AT29),0)+IF(AND(12&gt;IF('Ayarlar'!$B$7&lt;=0,99,ROUNDUP(MAX('Proje girdileri'!AC29,ROUNDUP('Proje girdileri'!AD29/'Ayarlar'!$B$7,0))/(52/12),0)),12&lt;='Ayarlar'!$B$6),IF('Proje girdileri'!AT29=0,MIN('Proje girdileri'!AH29,'Ayarlar'!$B$6-12+1),(1-POWER(1-'Proje girdileri'!AT29,MIN('Proje girdileri'!AH29,'Ayarlar'!$B$6-12+1)))/'Proje girdileri'!AT29),0))/MAX(0,'Ayarlar'!$B$6-IF('Ayarlar'!$B$7&lt;=0,99,ROUNDUP(MAX('Proje girdileri'!AC29,ROUNDUP('Proje girdileri'!AD29/'Ayarlar'!$B$7,0))/(52/12),0)))),1))</x:f>
        <x:v>1</x:v>
      </x:c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 t="str">
        <x:f>'Proje girdileri'!A30</x:f>
        <x:v>Aile-26</x:v>
      </x:c>
      <x:c r="B30" s="2" t="str">
        <x:f>'Proje girdileri'!B30</x:f>
        <x:v>Özgün karar notu</x:v>
      </x:c>
      <x:c r="C30" s="2" t="str">
        <x:f>IF(OR(COUNT('Proje girdileri'!D30:H30)&lt;&gt;5,MIN('Proje girdileri'!D30:H30)&lt;0,MAX('Proje girdileri'!D30:H30)&gt;2),"Yalnız deney",IF(MIN('Proje girdileri'!D30:H30)=0,"Kapsam/engel",IF(MIN('Proje girdileri'!D30:H30)=1,"Yalnız deney","Geçti")))</x:f>
        <x:v>Yalnız deney</x:v>
      </x:c>
      <x:c r="D30" s="23" t="n">
        <x:f>IF(AND(COUNT('Proje girdileri'!I30:X30)=16,MIN('Proje girdileri'!I30:X30)&gt;=0,MAX('Proje girdileri'!I30:X30)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girdileri'!I30:X30,'Proje girdileri'!$I$2:$X$2)/5*100,"n.a.")</x:f>
        <x:v>49.1</x:v>
      </x:c>
      <x:c r="E30" s="23" t="n">
        <x:f>IF(AND(COUNT('Proje girdileri'!I30:X30)=16,MIN('Proje girdileri'!I30:X30)&gt;=0,MAX('Proje girdileri'!I30:X30)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girdileri'!I30:X30,'Proje girdileri'!$I$3:$X$3)/5*100,"n.a.")</x:f>
        <x:v>48.00000000000001</x:v>
      </x:c>
      <x:c r="F30" s="2" t="n">
        <x:f>IF(OR(COUNT('Ayarlar'!$B$5:$B$9)&lt;&gt;5,MIN('Ayarlar'!$B$5:$B$7)&lt;=0,MIN('Ayarlar'!$B$8:$B$9)&lt;0,NOT(ISNUMBER(H30)),H30&lt;=0),"n.a.",ROUNDUP(('Ayarlar'!$B$5+'Proje girdileri'!AI30+'Ayarlar'!$B$6*'Proje girdileri'!AJ30)/H30,0))</x:f>
        <x:v>26</x:v>
      </x:c>
      <x:c r="G30" s="2" t="n">
        <x:f>IF(OR('Proje girdileri'!C30="internal",'Proje girdileri'!AE30+'Proje girdileri'!AF30+'Proje girdileri'!AG30*U30&lt;=0),0,MAX(0,ROUNDDOWN((MIN(T30*'Ayarlar'!$B$7,'Ayarlar'!$B$6*52/12*'Ayarlar'!$B$7-'Proje girdileri'!AD30)-T30*'Proje girdileri'!AK30)/('Proje girdileri'!AE30+'Proje girdileri'!AF30+'Proje girdileri'!AG30*U30),0)))</x:f>
        <x:v>22</x:v>
      </x:c>
      <x:c r="H30" s="24" t="n">
        <x:f>IF(COUNT('Proje girdileri'!Y30:AL30)&lt;&gt;14,"n.a.",('Proje girdileri'!Y30*(1-'Proje girdileri'!AA30-'Proje girdileri'!AB30)-'Proje girdileri'!Z30)*U30)</x:f>
        <x:v>123.79999999999998</x:v>
      </x:c>
      <x:c r="I30" s="24" t="n">
        <x:f>IF(ISNUMBER(H30),IF(H30&gt;0,MIN('Proje girdileri'!AL30,G30),0),"n.a.")</x:f>
        <x:v>12</x:v>
      </x:c>
      <x:c r="J30" s="24" t="n">
        <x:f>IF(ISNUMBER(H30),I30*H30-'Proje girdileri'!AI30-'Ayarlar'!$B$6*'Proje girdileri'!AJ30,"n.a.")</x:f>
        <x:v>1325.6</x:v>
      </x:c>
      <x:c r="K30" s="23" t="n">
        <x:f>IF(ISNUMBER(I30),'Proje girdileri'!AD30+T30*'Proje girdileri'!AK30+I30*('Proje girdileri'!AE30+'Proje girdileri'!AF30+'Proje girdileri'!AG30*U30),"n.a.")</x:f>
        <x:v>85.30000000000001</x:v>
      </x:c>
      <x:c r="L30" s="23" t="n">
        <x:f>IF(ISNUMBER(J30),J30-K30*'Ayarlar'!$B$9,"n.a.")</x:f>
        <x:v>-806.9000000000005</x:v>
      </x:c>
      <x:c r="M30" s="23" t="n">
        <x:f>IF(AND(ISNUMBER(K30),'Ayarlar'!$B$6&gt;0),K30/('Ayarlar'!$B$6*52/12),"n.a.")</x:f>
        <x:v>3.280769230769231</x:v>
      </x:c>
      <x:c r="N30" s="2" t="str">
        <x:f>IF('Proje girdileri'!AI30&lt;='Ayarlar'!$B$8,"Sığar","Aşar")</x:f>
        <x:v>Sığar</x:v>
      </x:c>
      <x:c r="O30" s="2" t="str">
        <x:f>IF(ISNUMBER(F30),IF(F30&lt;=G30,"Sığar","Aşar"),"n.a.")</x:f>
        <x:v>Aşar</x:v>
      </x:c>
      <x:c r="P30" s="2" t="n">
        <x:f>IF(OR(C30="Kapsam/engel",NOT(ISNUMBER(D30))),"n.a.",COUNTIFS($D$5:$D$50,"&gt;"&amp;D30,$C$5:$C$50,"&lt;&gt;Kapsam/engel")+COUNTIFS($D$5:D30,D30,$C$5:C30,"&lt;&gt;Kapsam/engel"))</x:f>
        <x:v>19</x:v>
      </x:c>
      <x:c r="Q30" s="2" t="n">
        <x:f>IF(OR(C30="Kapsam/engel",NOT(ISNUMBER(E30))),"n.a.",COUNTIFS($E$5:$E$50,"&gt;"&amp;E30,$C$5:$C$50,"&lt;&gt;Kapsam/engel")+COUNTIFS($E$5:E30,E30,$C$5:C30,"&lt;&gt;Kapsam/engel"))</x:f>
        <x:v>19</x:v>
      </x:c>
      <x:c r="R30" s="2" t="str">
        <x:f>IF(AND(C30="Geçti",N30="Sığar",O30="Sığar"),COUNTIFS($D$5:$D$50,"&gt;"&amp;D30,$C$5:$C$50,"Geçti",$N$5:$N$50,"Sığar",$O$5:$O$50,"Sığar")+COUNTIFS($D$5:D30,D30,$C$5:C30,"Geçti",$N$5:N30,"Sığar",$O$5:O30,"Sığar"),"n.a.")</x:f>
        <x:v>n.a.</x:v>
      </x:c>
      <x:c r="S30" s="24" t="n">
        <x:f>IF(ISNUMBER(J30),J30-MAX(0,J30)*'Ayarlar'!$B$10,"n.a.")</x:f>
        <x:v>1325.6</x:v>
      </x:c>
      <x:c r="T30" s="2" t="n">
        <x:f>IF('Ayarlar'!$B$7&lt;=0,0,MAX(0,'Ayarlar'!$B$6*52/12-MAX('Proje girdileri'!AC30,ROUNDUP('Proje girdileri'!AD30/'Ayarlar'!$B$7,0))))</x:f>
        <x:v>21</x:v>
      </x:c>
      <x:c r="U30" s="2" t="n">
        <x:f>IF(T30=0,0,IF('Proje girdileri'!C30="recurring",IF(MAX(0,'Ayarlar'!$B$6-IF('Ayarlar'!$B$7&lt;=0,99,ROUNDUP(MAX('Proje girdileri'!AC30,ROUNDUP('Proje girdileri'!AD30/'Ayarlar'!$B$7,0))/(52/12),0)))=0,0,(IF(AND(1&gt;IF('Ayarlar'!$B$7&lt;=0,99,ROUNDUP(MAX('Proje girdileri'!AC30,ROUNDUP('Proje girdileri'!AD30/'Ayarlar'!$B$7,0))/(52/12),0)),1&lt;='Ayarlar'!$B$6),IF('Proje girdileri'!AT30=0,MIN('Proje girdileri'!AH30,'Ayarlar'!$B$6-1+1),(1-POWER(1-'Proje girdileri'!AT30,MIN('Proje girdileri'!AH30,'Ayarlar'!$B$6-1+1)))/'Proje girdileri'!AT30),0)+IF(AND(2&gt;IF('Ayarlar'!$B$7&lt;=0,99,ROUNDUP(MAX('Proje girdileri'!AC30,ROUNDUP('Proje girdileri'!AD30/'Ayarlar'!$B$7,0))/(52/12),0)),2&lt;='Ayarlar'!$B$6),IF('Proje girdileri'!AT30=0,MIN('Proje girdileri'!AH30,'Ayarlar'!$B$6-2+1),(1-POWER(1-'Proje girdileri'!AT30,MIN('Proje girdileri'!AH30,'Ayarlar'!$B$6-2+1)))/'Proje girdileri'!AT30),0)+IF(AND(3&gt;IF('Ayarlar'!$B$7&lt;=0,99,ROUNDUP(MAX('Proje girdileri'!AC30,ROUNDUP('Proje girdileri'!AD30/'Ayarlar'!$B$7,0))/(52/12),0)),3&lt;='Ayarlar'!$B$6),IF('Proje girdileri'!AT30=0,MIN('Proje girdileri'!AH30,'Ayarlar'!$B$6-3+1),(1-POWER(1-'Proje girdileri'!AT30,MIN('Proje girdileri'!AH30,'Ayarlar'!$B$6-3+1)))/'Proje girdileri'!AT30),0)+IF(AND(4&gt;IF('Ayarlar'!$B$7&lt;=0,99,ROUNDUP(MAX('Proje girdileri'!AC30,ROUNDUP('Proje girdileri'!AD30/'Ayarlar'!$B$7,0))/(52/12),0)),4&lt;='Ayarlar'!$B$6),IF('Proje girdileri'!AT30=0,MIN('Proje girdileri'!AH30,'Ayarlar'!$B$6-4+1),(1-POWER(1-'Proje girdileri'!AT30,MIN('Proje girdileri'!AH30,'Ayarlar'!$B$6-4+1)))/'Proje girdileri'!AT30),0)+IF(AND(5&gt;IF('Ayarlar'!$B$7&lt;=0,99,ROUNDUP(MAX('Proje girdileri'!AC30,ROUNDUP('Proje girdileri'!AD30/'Ayarlar'!$B$7,0))/(52/12),0)),5&lt;='Ayarlar'!$B$6),IF('Proje girdileri'!AT30=0,MIN('Proje girdileri'!AH30,'Ayarlar'!$B$6-5+1),(1-POWER(1-'Proje girdileri'!AT30,MIN('Proje girdileri'!AH30,'Ayarlar'!$B$6-5+1)))/'Proje girdileri'!AT30),0)+IF(AND(6&gt;IF('Ayarlar'!$B$7&lt;=0,99,ROUNDUP(MAX('Proje girdileri'!AC30,ROUNDUP('Proje girdileri'!AD30/'Ayarlar'!$B$7,0))/(52/12),0)),6&lt;='Ayarlar'!$B$6),IF('Proje girdileri'!AT30=0,MIN('Proje girdileri'!AH30,'Ayarlar'!$B$6-6+1),(1-POWER(1-'Proje girdileri'!AT30,MIN('Proje girdileri'!AH30,'Ayarlar'!$B$6-6+1)))/'Proje girdileri'!AT30),0)+IF(AND(7&gt;IF('Ayarlar'!$B$7&lt;=0,99,ROUNDUP(MAX('Proje girdileri'!AC30,ROUNDUP('Proje girdileri'!AD30/'Ayarlar'!$B$7,0))/(52/12),0)),7&lt;='Ayarlar'!$B$6),IF('Proje girdileri'!AT30=0,MIN('Proje girdileri'!AH30,'Ayarlar'!$B$6-7+1),(1-POWER(1-'Proje girdileri'!AT30,MIN('Proje girdileri'!AH30,'Ayarlar'!$B$6-7+1)))/'Proje girdileri'!AT30),0)+IF(AND(8&gt;IF('Ayarlar'!$B$7&lt;=0,99,ROUNDUP(MAX('Proje girdileri'!AC30,ROUNDUP('Proje girdileri'!AD30/'Ayarlar'!$B$7,0))/(52/12),0)),8&lt;='Ayarlar'!$B$6),IF('Proje girdileri'!AT30=0,MIN('Proje girdileri'!AH30,'Ayarlar'!$B$6-8+1),(1-POWER(1-'Proje girdileri'!AT30,MIN('Proje girdileri'!AH30,'Ayarlar'!$B$6-8+1)))/'Proje girdileri'!AT30),0)+IF(AND(9&gt;IF('Ayarlar'!$B$7&lt;=0,99,ROUNDUP(MAX('Proje girdileri'!AC30,ROUNDUP('Proje girdileri'!AD30/'Ayarlar'!$B$7,0))/(52/12),0)),9&lt;='Ayarlar'!$B$6),IF('Proje girdileri'!AT30=0,MIN('Proje girdileri'!AH30,'Ayarlar'!$B$6-9+1),(1-POWER(1-'Proje girdileri'!AT30,MIN('Proje girdileri'!AH30,'Ayarlar'!$B$6-9+1)))/'Proje girdileri'!AT30),0)+IF(AND(10&gt;IF('Ayarlar'!$B$7&lt;=0,99,ROUNDUP(MAX('Proje girdileri'!AC30,ROUNDUP('Proje girdileri'!AD30/'Ayarlar'!$B$7,0))/(52/12),0)),10&lt;='Ayarlar'!$B$6),IF('Proje girdileri'!AT30=0,MIN('Proje girdileri'!AH30,'Ayarlar'!$B$6-10+1),(1-POWER(1-'Proje girdileri'!AT30,MIN('Proje girdileri'!AH30,'Ayarlar'!$B$6-10+1)))/'Proje girdileri'!AT30),0)+IF(AND(11&gt;IF('Ayarlar'!$B$7&lt;=0,99,ROUNDUP(MAX('Proje girdileri'!AC30,ROUNDUP('Proje girdileri'!AD30/'Ayarlar'!$B$7,0))/(52/12),0)),11&lt;='Ayarlar'!$B$6),IF('Proje girdileri'!AT30=0,MIN('Proje girdileri'!AH30,'Ayarlar'!$B$6-11+1),(1-POWER(1-'Proje girdileri'!AT30,MIN('Proje girdileri'!AH30,'Ayarlar'!$B$6-11+1)))/'Proje girdileri'!AT30),0)+IF(AND(12&gt;IF('Ayarlar'!$B$7&lt;=0,99,ROUNDUP(MAX('Proje girdileri'!AC30,ROUNDUP('Proje girdileri'!AD30/'Ayarlar'!$B$7,0))/(52/12),0)),12&lt;='Ayarlar'!$B$6),IF('Proje girdileri'!AT30=0,MIN('Proje girdileri'!AH30,'Ayarlar'!$B$6-12+1),(1-POWER(1-'Proje girdileri'!AT30,MIN('Proje girdileri'!AH30,'Ayarlar'!$B$6-12+1)))/'Proje girdileri'!AT30),0))/MAX(0,'Ayarlar'!$B$6-IF('Ayarlar'!$B$7&lt;=0,99,ROUNDUP(MAX('Proje girdileri'!AC30,ROUNDUP('Proje girdileri'!AD30/'Ayarlar'!$B$7,0))/(52/12),0)))),1))</x:f>
        <x:v>1</x:v>
      </x:c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 t="str">
        <x:f>'Proje girdileri'!A31</x:f>
        <x:v>Aile-27</x:v>
      </x:c>
      <x:c r="B31" s="2" t="str">
        <x:f>'Proje girdileri'!B31</x:f>
        <x:v>Çok dilli üretici site</x:v>
      </x:c>
      <x:c r="C31" s="2" t="str">
        <x:f>IF(OR(COUNT('Proje girdileri'!D31:H31)&lt;&gt;5,MIN('Proje girdileri'!D31:H31)&lt;0,MAX('Proje girdileri'!D31:H31)&gt;2),"Yalnız deney",IF(MIN('Proje girdileri'!D31:H31)=0,"Kapsam/engel",IF(MIN('Proje girdileri'!D31:H31)=1,"Yalnız deney","Geçti")))</x:f>
        <x:v>Yalnız deney</x:v>
      </x:c>
      <x:c r="D31" s="23" t="n">
        <x:f>IF(AND(COUNT('Proje girdileri'!I31:X31)=16,MIN('Proje girdileri'!I31:X31)&gt;=0,MAX('Proje girdileri'!I31:X31)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girdileri'!I31:X31,'Proje girdileri'!$I$2:$X$2)/5*100,"n.a.")</x:f>
        <x:v>51.6</x:v>
      </x:c>
      <x:c r="E31" s="23" t="n">
        <x:f>IF(AND(COUNT('Proje girdileri'!I31:X31)=16,MIN('Proje girdileri'!I31:X31)&gt;=0,MAX('Proje girdileri'!I31:X31)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girdileri'!I31:X31,'Proje girdileri'!$I$3:$X$3)/5*100,"n.a.")</x:f>
        <x:v>50.3</x:v>
      </x:c>
      <x:c r="F31" s="2" t="n">
        <x:f>IF(OR(COUNT('Ayarlar'!$B$5:$B$9)&lt;&gt;5,MIN('Ayarlar'!$B$5:$B$7)&lt;=0,MIN('Ayarlar'!$B$8:$B$9)&lt;0,NOT(ISNUMBER(H31)),H31&lt;=0),"n.a.",ROUNDUP(('Ayarlar'!$B$5+'Proje girdileri'!AI31+'Ayarlar'!$B$6*'Proje girdileri'!AJ31)/H31,0))</x:f>
        <x:v>3</x:v>
      </x:c>
      <x:c r="G31" s="2" t="n">
        <x:f>IF(OR('Proje girdileri'!C31="internal",'Proje girdileri'!AE31+'Proje girdileri'!AF31+'Proje girdileri'!AG31*U31&lt;=0),0,MAX(0,ROUNDDOWN((MIN(T31*'Ayarlar'!$B$7,'Ayarlar'!$B$6*52/12*'Ayarlar'!$B$7-'Proje girdileri'!AD31)-T31*'Proje girdileri'!AK31)/('Proje girdileri'!AE31+'Proje girdileri'!AF31+'Proje girdileri'!AG31*U31),0)))</x:f>
        <x:v>2</x:v>
      </x:c>
      <x:c r="H31" s="24" t="n">
        <x:f>IF(COUNT('Proje girdileri'!Y31:AL31)&lt;&gt;14,"n.a.",('Proje girdileri'!Y31*(1-'Proje girdileri'!AA31-'Proje girdileri'!AB31)-'Proje girdileri'!Z31)*U31)</x:f>
        <x:v>1592</x:v>
      </x:c>
      <x:c r="I31" s="24" t="n">
        <x:f>IF(ISNUMBER(H31),IF(H31&gt;0,MIN('Proje girdileri'!AL31,G31),0),"n.a.")</x:f>
        <x:v>2</x:v>
      </x:c>
      <x:c r="J31" s="24" t="n">
        <x:f>IF(ISNUMBER(H31),I31*H31-'Proje girdileri'!AI31-'Ayarlar'!$B$6*'Proje girdileri'!AJ31,"n.a.")</x:f>
        <x:v>2944</x:v>
      </x:c>
      <x:c r="K31" s="23" t="n">
        <x:f>IF(ISNUMBER(I31),'Proje girdileri'!AD31+T31*'Proje girdileri'!AK31+I31*('Proje girdileri'!AE31+'Proje girdileri'!AF31+'Proje girdileri'!AG31*U31),"n.a.")</x:f>
        <x:v>103.5</x:v>
      </x:c>
      <x:c r="L31" s="23" t="n">
        <x:f>IF(ISNUMBER(J31),J31-K31*'Ayarlar'!$B$9,"n.a.")</x:f>
        <x:v>356.5</x:v>
      </x:c>
      <x:c r="M31" s="23" t="n">
        <x:f>IF(AND(ISNUMBER(K31),'Ayarlar'!$B$6&gt;0),K31/('Ayarlar'!$B$6*52/12),"n.a.")</x:f>
        <x:v>3.980769230769231</x:v>
      </x:c>
      <x:c r="N31" s="2" t="str">
        <x:f>IF('Proje girdileri'!AI31&lt;='Ayarlar'!$B$8,"Sığar","Aşar")</x:f>
        <x:v>Sığar</x:v>
      </x:c>
      <x:c r="O31" s="2" t="str">
        <x:f>IF(ISNUMBER(F31),IF(F31&lt;=G31,"Sığar","Aşar"),"n.a.")</x:f>
        <x:v>Aşar</x:v>
      </x:c>
      <x:c r="P31" s="2" t="n">
        <x:f>IF(OR(C31="Kapsam/engel",NOT(ISNUMBER(D31))),"n.a.",COUNTIFS($D$5:$D$50,"&gt;"&amp;D31,$C$5:$C$50,"&lt;&gt;Kapsam/engel")+COUNTIFS($D$5:D31,D31,$C$5:C31,"&lt;&gt;Kapsam/engel"))</x:f>
        <x:v>10</x:v>
      </x:c>
      <x:c r="Q31" s="2" t="n">
        <x:f>IF(OR(C31="Kapsam/engel",NOT(ISNUMBER(E31))),"n.a.",COUNTIFS($E$5:$E$50,"&gt;"&amp;E31,$C$5:$C$50,"&lt;&gt;Kapsam/engel")+COUNTIFS($E$5:E31,E31,$C$5:C31,"&lt;&gt;Kapsam/engel"))</x:f>
        <x:v>13</x:v>
      </x:c>
      <x:c r="R31" s="2" t="str">
        <x:f>IF(AND(C31="Geçti",N31="Sığar",O31="Sığar"),COUNTIFS($D$5:$D$50,"&gt;"&amp;D31,$C$5:$C$50,"Geçti",$N$5:$N$50,"Sığar",$O$5:$O$50,"Sığar")+COUNTIFS($D$5:D31,D31,$C$5:C31,"Geçti",$N$5:N31,"Sığar",$O$5:O31,"Sığar"),"n.a.")</x:f>
        <x:v>n.a.</x:v>
      </x:c>
      <x:c r="S31" s="24" t="n">
        <x:f>IF(ISNUMBER(J31),J31-MAX(0,J31)*'Ayarlar'!$B$10,"n.a.")</x:f>
        <x:v>2944</x:v>
      </x:c>
      <x:c r="T31" s="2" t="n">
        <x:f>IF('Ayarlar'!$B$7&lt;=0,0,MAX(0,'Ayarlar'!$B$6*52/12-MAX('Proje girdileri'!AC31,ROUNDUP('Proje girdileri'!AD31/'Ayarlar'!$B$7,0))))</x:f>
        <x:v>23</x:v>
      </x:c>
      <x:c r="U31" s="2" t="n">
        <x:f>IF(T31=0,0,IF('Proje girdileri'!C31="recurring",IF(MAX(0,'Ayarlar'!$B$6-IF('Ayarlar'!$B$7&lt;=0,99,ROUNDUP(MAX('Proje girdileri'!AC31,ROUNDUP('Proje girdileri'!AD31/'Ayarlar'!$B$7,0))/(52/12),0)))=0,0,(IF(AND(1&gt;IF('Ayarlar'!$B$7&lt;=0,99,ROUNDUP(MAX('Proje girdileri'!AC31,ROUNDUP('Proje girdileri'!AD31/'Ayarlar'!$B$7,0))/(52/12),0)),1&lt;='Ayarlar'!$B$6),IF('Proje girdileri'!AT31=0,MIN('Proje girdileri'!AH31,'Ayarlar'!$B$6-1+1),(1-POWER(1-'Proje girdileri'!AT31,MIN('Proje girdileri'!AH31,'Ayarlar'!$B$6-1+1)))/'Proje girdileri'!AT31),0)+IF(AND(2&gt;IF('Ayarlar'!$B$7&lt;=0,99,ROUNDUP(MAX('Proje girdileri'!AC31,ROUNDUP('Proje girdileri'!AD31/'Ayarlar'!$B$7,0))/(52/12),0)),2&lt;='Ayarlar'!$B$6),IF('Proje girdileri'!AT31=0,MIN('Proje girdileri'!AH31,'Ayarlar'!$B$6-2+1),(1-POWER(1-'Proje girdileri'!AT31,MIN('Proje girdileri'!AH31,'Ayarlar'!$B$6-2+1)))/'Proje girdileri'!AT31),0)+IF(AND(3&gt;IF('Ayarlar'!$B$7&lt;=0,99,ROUNDUP(MAX('Proje girdileri'!AC31,ROUNDUP('Proje girdileri'!AD31/'Ayarlar'!$B$7,0))/(52/12),0)),3&lt;='Ayarlar'!$B$6),IF('Proje girdileri'!AT31=0,MIN('Proje girdileri'!AH31,'Ayarlar'!$B$6-3+1),(1-POWER(1-'Proje girdileri'!AT31,MIN('Proje girdileri'!AH31,'Ayarlar'!$B$6-3+1)))/'Proje girdileri'!AT31),0)+IF(AND(4&gt;IF('Ayarlar'!$B$7&lt;=0,99,ROUNDUP(MAX('Proje girdileri'!AC31,ROUNDUP('Proje girdileri'!AD31/'Ayarlar'!$B$7,0))/(52/12),0)),4&lt;='Ayarlar'!$B$6),IF('Proje girdileri'!AT31=0,MIN('Proje girdileri'!AH31,'Ayarlar'!$B$6-4+1),(1-POWER(1-'Proje girdileri'!AT31,MIN('Proje girdileri'!AH31,'Ayarlar'!$B$6-4+1)))/'Proje girdileri'!AT31),0)+IF(AND(5&gt;IF('Ayarlar'!$B$7&lt;=0,99,ROUNDUP(MAX('Proje girdileri'!AC31,ROUNDUP('Proje girdileri'!AD31/'Ayarlar'!$B$7,0))/(52/12),0)),5&lt;='Ayarlar'!$B$6),IF('Proje girdileri'!AT31=0,MIN('Proje girdileri'!AH31,'Ayarlar'!$B$6-5+1),(1-POWER(1-'Proje girdileri'!AT31,MIN('Proje girdileri'!AH31,'Ayarlar'!$B$6-5+1)))/'Proje girdileri'!AT31),0)+IF(AND(6&gt;IF('Ayarlar'!$B$7&lt;=0,99,ROUNDUP(MAX('Proje girdileri'!AC31,ROUNDUP('Proje girdileri'!AD31/'Ayarlar'!$B$7,0))/(52/12),0)),6&lt;='Ayarlar'!$B$6),IF('Proje girdileri'!AT31=0,MIN('Proje girdileri'!AH31,'Ayarlar'!$B$6-6+1),(1-POWER(1-'Proje girdileri'!AT31,MIN('Proje girdileri'!AH31,'Ayarlar'!$B$6-6+1)))/'Proje girdileri'!AT31),0)+IF(AND(7&gt;IF('Ayarlar'!$B$7&lt;=0,99,ROUNDUP(MAX('Proje girdileri'!AC31,ROUNDUP('Proje girdileri'!AD31/'Ayarlar'!$B$7,0))/(52/12),0)),7&lt;='Ayarlar'!$B$6),IF('Proje girdileri'!AT31=0,MIN('Proje girdileri'!AH31,'Ayarlar'!$B$6-7+1),(1-POWER(1-'Proje girdileri'!AT31,MIN('Proje girdileri'!AH31,'Ayarlar'!$B$6-7+1)))/'Proje girdileri'!AT31),0)+IF(AND(8&gt;IF('Ayarlar'!$B$7&lt;=0,99,ROUNDUP(MAX('Proje girdileri'!AC31,ROUNDUP('Proje girdileri'!AD31/'Ayarlar'!$B$7,0))/(52/12),0)),8&lt;='Ayarlar'!$B$6),IF('Proje girdileri'!AT31=0,MIN('Proje girdileri'!AH31,'Ayarlar'!$B$6-8+1),(1-POWER(1-'Proje girdileri'!AT31,MIN('Proje girdileri'!AH31,'Ayarlar'!$B$6-8+1)))/'Proje girdileri'!AT31),0)+IF(AND(9&gt;IF('Ayarlar'!$B$7&lt;=0,99,ROUNDUP(MAX('Proje girdileri'!AC31,ROUNDUP('Proje girdileri'!AD31/'Ayarlar'!$B$7,0))/(52/12),0)),9&lt;='Ayarlar'!$B$6),IF('Proje girdileri'!AT31=0,MIN('Proje girdileri'!AH31,'Ayarlar'!$B$6-9+1),(1-POWER(1-'Proje girdileri'!AT31,MIN('Proje girdileri'!AH31,'Ayarlar'!$B$6-9+1)))/'Proje girdileri'!AT31),0)+IF(AND(10&gt;IF('Ayarlar'!$B$7&lt;=0,99,ROUNDUP(MAX('Proje girdileri'!AC31,ROUNDUP('Proje girdileri'!AD31/'Ayarlar'!$B$7,0))/(52/12),0)),10&lt;='Ayarlar'!$B$6),IF('Proje girdileri'!AT31=0,MIN('Proje girdileri'!AH31,'Ayarlar'!$B$6-10+1),(1-POWER(1-'Proje girdileri'!AT31,MIN('Proje girdileri'!AH31,'Ayarlar'!$B$6-10+1)))/'Proje girdileri'!AT31),0)+IF(AND(11&gt;IF('Ayarlar'!$B$7&lt;=0,99,ROUNDUP(MAX('Proje girdileri'!AC31,ROUNDUP('Proje girdileri'!AD31/'Ayarlar'!$B$7,0))/(52/12),0)),11&lt;='Ayarlar'!$B$6),IF('Proje girdileri'!AT31=0,MIN('Proje girdileri'!AH31,'Ayarlar'!$B$6-11+1),(1-POWER(1-'Proje girdileri'!AT31,MIN('Proje girdileri'!AH31,'Ayarlar'!$B$6-11+1)))/'Proje girdileri'!AT31),0)+IF(AND(12&gt;IF('Ayarlar'!$B$7&lt;=0,99,ROUNDUP(MAX('Proje girdileri'!AC31,ROUNDUP('Proje girdileri'!AD31/'Ayarlar'!$B$7,0))/(52/12),0)),12&lt;='Ayarlar'!$B$6),IF('Proje girdileri'!AT31=0,MIN('Proje girdileri'!AH31,'Ayarlar'!$B$6-12+1),(1-POWER(1-'Proje girdileri'!AT31,MIN('Proje girdileri'!AH31,'Ayarlar'!$B$6-12+1)))/'Proje girdileri'!AT31),0))/MAX(0,'Ayarlar'!$B$6-IF('Ayarlar'!$B$7&lt;=0,99,ROUNDUP(MAX('Proje girdileri'!AC31,ROUNDUP('Proje girdileri'!AD31/'Ayarlar'!$B$7,0))/(52/12),0)))),1))</x:f>
        <x:v>1</x:v>
      </x:c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 t="str">
        <x:f>'Proje girdileri'!A32</x:f>
        <x:v>Aile-28</x:v>
      </x:c>
      <x:c r="B32" s="2" t="str">
        <x:f>'Proje girdileri'!B32</x:f>
        <x:v>LifeOS dar çıktı</x:v>
      </x:c>
      <x:c r="C32" s="2" t="str">
        <x:f>IF(OR(COUNT('Proje girdileri'!D32:H32)&lt;&gt;5,MIN('Proje girdileri'!D32:H32)&lt;0,MAX('Proje girdileri'!D32:H32)&gt;2),"Yalnız deney",IF(MIN('Proje girdileri'!D32:H32)=0,"Kapsam/engel",IF(MIN('Proje girdileri'!D32:H32)=1,"Yalnız deney","Geçti")))</x:f>
        <x:v>Yalnız deney</x:v>
      </x:c>
      <x:c r="D32" s="23" t="n">
        <x:f>IF(AND(COUNT('Proje girdileri'!I32:X32)=16,MIN('Proje girdileri'!I32:X32)&gt;=0,MAX('Proje girdileri'!I32:X32)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girdileri'!I32:X32,'Proje girdileri'!$I$2:$X$2)/5*100,"n.a.")</x:f>
        <x:v>46.80000000000001</x:v>
      </x:c>
      <x:c r="E32" s="23" t="n">
        <x:f>IF(AND(COUNT('Proje girdileri'!I32:X32)=16,MIN('Proje girdileri'!I32:X32)&gt;=0,MAX('Proje girdileri'!I32:X32)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girdileri'!I32:X32,'Proje girdileri'!$I$3:$X$3)/5*100,"n.a.")</x:f>
        <x:v>47.5</x:v>
      </x:c>
      <x:c r="F32" s="2" t="n">
        <x:f>IF(OR(COUNT('Ayarlar'!$B$5:$B$9)&lt;&gt;5,MIN('Ayarlar'!$B$5:$B$7)&lt;=0,MIN('Ayarlar'!$B$8:$B$9)&lt;0,NOT(ISNUMBER(H32)),H32&lt;=0),"n.a.",ROUNDUP(('Ayarlar'!$B$5+'Proje girdileri'!AI32+'Ayarlar'!$B$6*'Proje girdileri'!AJ32)/H32,0))</x:f>
        <x:v>272</x:v>
      </x:c>
      <x:c r="G32" s="2" t="n">
        <x:f>IF(OR('Proje girdileri'!C32="internal",'Proje girdileri'!AE32+'Proje girdileri'!AF32+'Proje girdileri'!AG32*U32&lt;=0),0,MAX(0,ROUNDDOWN((MIN(T32*'Ayarlar'!$B$7,'Ayarlar'!$B$6*52/12*'Ayarlar'!$B$7-'Proje girdileri'!AD32)-T32*'Proje girdileri'!AK32)/('Proje girdileri'!AE32+'Proje girdileri'!AF32+'Proje girdileri'!AG32*U32),0)))</x:f>
        <x:v>195</x:v>
      </x:c>
      <x:c r="H32" s="24" t="n">
        <x:f>IF(COUNT('Proje girdileri'!Y32:AL32)&lt;&gt;14,"n.a.",('Proje girdileri'!Y32*(1-'Proje girdileri'!AA32-'Proje girdileri'!AB32)-'Proje girdileri'!Z32)*U32)</x:f>
        <x:v>11.499999999999998</x:v>
      </x:c>
      <x:c r="I32" s="24" t="n">
        <x:f>IF(ISNUMBER(H32),IF(H32&gt;0,MIN('Proje girdileri'!AL32,G32),0),"n.a.")</x:f>
        <x:v>15</x:v>
      </x:c>
      <x:c r="J32" s="24" t="n">
        <x:f>IF(ISNUMBER(H32),I32*H32-'Proje girdileri'!AI32-'Ayarlar'!$B$6*'Proje girdileri'!AJ32,"n.a.")</x:f>
        <x:v>49.49999999999997</x:v>
      </x:c>
      <x:c r="K32" s="23" t="n">
        <x:f>IF(ISNUMBER(I32),'Proje girdileri'!AD32+T32*'Proje girdileri'!AK32+I32*('Proje girdileri'!AE32+'Proje girdileri'!AF32+'Proje girdileri'!AG32*U32),"n.a.")</x:f>
        <x:v>44.75</x:v>
      </x:c>
      <x:c r="L32" s="23" t="n">
        <x:f>IF(ISNUMBER(J32),J32-K32*'Ayarlar'!$B$9,"n.a.")</x:f>
        <x:v>-1069.25</x:v>
      </x:c>
      <x:c r="M32" s="23" t="n">
        <x:f>IF(AND(ISNUMBER(K32),'Ayarlar'!$B$6&gt;0),K32/('Ayarlar'!$B$6*52/12),"n.a.")</x:f>
        <x:v>1.7211538461538463</x:v>
      </x:c>
      <x:c r="N32" s="2" t="str">
        <x:f>IF('Proje girdileri'!AI32&lt;='Ayarlar'!$B$8,"Sığar","Aşar")</x:f>
        <x:v>Sığar</x:v>
      </x:c>
      <x:c r="O32" s="2" t="str">
        <x:f>IF(ISNUMBER(F32),IF(F32&lt;=G32,"Sığar","Aşar"),"n.a.")</x:f>
        <x:v>Aşar</x:v>
      </x:c>
      <x:c r="P32" s="2" t="n">
        <x:f>IF(OR(C32="Kapsam/engel",NOT(ISNUMBER(D32))),"n.a.",COUNTIFS($D$5:$D$50,"&gt;"&amp;D32,$C$5:$C$50,"&lt;&gt;Kapsam/engel")+COUNTIFS($D$5:D32,D32,$C$5:C32,"&lt;&gt;Kapsam/engel"))</x:f>
        <x:v>25</x:v>
      </x:c>
      <x:c r="Q32" s="2" t="n">
        <x:f>IF(OR(C32="Kapsam/engel",NOT(ISNUMBER(E32))),"n.a.",COUNTIFS($E$5:$E$50,"&gt;"&amp;E32,$C$5:$C$50,"&lt;&gt;Kapsam/engel")+COUNTIFS($E$5:E32,E32,$C$5:C32,"&lt;&gt;Kapsam/engel"))</x:f>
        <x:v>20</x:v>
      </x:c>
      <x:c r="R32" s="2" t="str">
        <x:f>IF(AND(C32="Geçti",N32="Sığar",O32="Sığar"),COUNTIFS($D$5:$D$50,"&gt;"&amp;D32,$C$5:$C$50,"Geçti",$N$5:$N$50,"Sığar",$O$5:$O$50,"Sığar")+COUNTIFS($D$5:D32,D32,$C$5:C32,"Geçti",$N$5:N32,"Sığar",$O$5:O32,"Sığar"),"n.a.")</x:f>
        <x:v>n.a.</x:v>
      </x:c>
      <x:c r="S32" s="24" t="n">
        <x:f>IF(ISNUMBER(J32),J32-MAX(0,J32)*'Ayarlar'!$B$10,"n.a.")</x:f>
        <x:v>49.49999999999997</x:v>
      </x:c>
      <x:c r="T32" s="2" t="n">
        <x:f>IF('Ayarlar'!$B$7&lt;=0,0,MAX(0,'Ayarlar'!$B$6*52/12-MAX('Proje girdileri'!AC32,ROUNDUP('Proje girdileri'!AD32/'Ayarlar'!$B$7,0))))</x:f>
        <x:v>22</x:v>
      </x:c>
      <x:c r="U32" s="2" t="n">
        <x:f>IF(T32=0,0,IF('Proje girdileri'!C32="recurring",IF(MAX(0,'Ayarlar'!$B$6-IF('Ayarlar'!$B$7&lt;=0,99,ROUNDUP(MAX('Proje girdileri'!AC32,ROUNDUP('Proje girdileri'!AD32/'Ayarlar'!$B$7,0))/(52/12),0)))=0,0,(IF(AND(1&gt;IF('Ayarlar'!$B$7&lt;=0,99,ROUNDUP(MAX('Proje girdileri'!AC32,ROUNDUP('Proje girdileri'!AD32/'Ayarlar'!$B$7,0))/(52/12),0)),1&lt;='Ayarlar'!$B$6),IF('Proje girdileri'!AT32=0,MIN('Proje girdileri'!AH32,'Ayarlar'!$B$6-1+1),(1-POWER(1-'Proje girdileri'!AT32,MIN('Proje girdileri'!AH32,'Ayarlar'!$B$6-1+1)))/'Proje girdileri'!AT32),0)+IF(AND(2&gt;IF('Ayarlar'!$B$7&lt;=0,99,ROUNDUP(MAX('Proje girdileri'!AC32,ROUNDUP('Proje girdileri'!AD32/'Ayarlar'!$B$7,0))/(52/12),0)),2&lt;='Ayarlar'!$B$6),IF('Proje girdileri'!AT32=0,MIN('Proje girdileri'!AH32,'Ayarlar'!$B$6-2+1),(1-POWER(1-'Proje girdileri'!AT32,MIN('Proje girdileri'!AH32,'Ayarlar'!$B$6-2+1)))/'Proje girdileri'!AT32),0)+IF(AND(3&gt;IF('Ayarlar'!$B$7&lt;=0,99,ROUNDUP(MAX('Proje girdileri'!AC32,ROUNDUP('Proje girdileri'!AD32/'Ayarlar'!$B$7,0))/(52/12),0)),3&lt;='Ayarlar'!$B$6),IF('Proje girdileri'!AT32=0,MIN('Proje girdileri'!AH32,'Ayarlar'!$B$6-3+1),(1-POWER(1-'Proje girdileri'!AT32,MIN('Proje girdileri'!AH32,'Ayarlar'!$B$6-3+1)))/'Proje girdileri'!AT32),0)+IF(AND(4&gt;IF('Ayarlar'!$B$7&lt;=0,99,ROUNDUP(MAX('Proje girdileri'!AC32,ROUNDUP('Proje girdileri'!AD32/'Ayarlar'!$B$7,0))/(52/12),0)),4&lt;='Ayarlar'!$B$6),IF('Proje girdileri'!AT32=0,MIN('Proje girdileri'!AH32,'Ayarlar'!$B$6-4+1),(1-POWER(1-'Proje girdileri'!AT32,MIN('Proje girdileri'!AH32,'Ayarlar'!$B$6-4+1)))/'Proje girdileri'!AT32),0)+IF(AND(5&gt;IF('Ayarlar'!$B$7&lt;=0,99,ROUNDUP(MAX('Proje girdileri'!AC32,ROUNDUP('Proje girdileri'!AD32/'Ayarlar'!$B$7,0))/(52/12),0)),5&lt;='Ayarlar'!$B$6),IF('Proje girdileri'!AT32=0,MIN('Proje girdileri'!AH32,'Ayarlar'!$B$6-5+1),(1-POWER(1-'Proje girdileri'!AT32,MIN('Proje girdileri'!AH32,'Ayarlar'!$B$6-5+1)))/'Proje girdileri'!AT32),0)+IF(AND(6&gt;IF('Ayarlar'!$B$7&lt;=0,99,ROUNDUP(MAX('Proje girdileri'!AC32,ROUNDUP('Proje girdileri'!AD32/'Ayarlar'!$B$7,0))/(52/12),0)),6&lt;='Ayarlar'!$B$6),IF('Proje girdileri'!AT32=0,MIN('Proje girdileri'!AH32,'Ayarlar'!$B$6-6+1),(1-POWER(1-'Proje girdileri'!AT32,MIN('Proje girdileri'!AH32,'Ayarlar'!$B$6-6+1)))/'Proje girdileri'!AT32),0)+IF(AND(7&gt;IF('Ayarlar'!$B$7&lt;=0,99,ROUNDUP(MAX('Proje girdileri'!AC32,ROUNDUP('Proje girdileri'!AD32/'Ayarlar'!$B$7,0))/(52/12),0)),7&lt;='Ayarlar'!$B$6),IF('Proje girdileri'!AT32=0,MIN('Proje girdileri'!AH32,'Ayarlar'!$B$6-7+1),(1-POWER(1-'Proje girdileri'!AT32,MIN('Proje girdileri'!AH32,'Ayarlar'!$B$6-7+1)))/'Proje girdileri'!AT32),0)+IF(AND(8&gt;IF('Ayarlar'!$B$7&lt;=0,99,ROUNDUP(MAX('Proje girdileri'!AC32,ROUNDUP('Proje girdileri'!AD32/'Ayarlar'!$B$7,0))/(52/12),0)),8&lt;='Ayarlar'!$B$6),IF('Proje girdileri'!AT32=0,MIN('Proje girdileri'!AH32,'Ayarlar'!$B$6-8+1),(1-POWER(1-'Proje girdileri'!AT32,MIN('Proje girdileri'!AH32,'Ayarlar'!$B$6-8+1)))/'Proje girdileri'!AT32),0)+IF(AND(9&gt;IF('Ayarlar'!$B$7&lt;=0,99,ROUNDUP(MAX('Proje girdileri'!AC32,ROUNDUP('Proje girdileri'!AD32/'Ayarlar'!$B$7,0))/(52/12),0)),9&lt;='Ayarlar'!$B$6),IF('Proje girdileri'!AT32=0,MIN('Proje girdileri'!AH32,'Ayarlar'!$B$6-9+1),(1-POWER(1-'Proje girdileri'!AT32,MIN('Proje girdileri'!AH32,'Ayarlar'!$B$6-9+1)))/'Proje girdileri'!AT32),0)+IF(AND(10&gt;IF('Ayarlar'!$B$7&lt;=0,99,ROUNDUP(MAX('Proje girdileri'!AC32,ROUNDUP('Proje girdileri'!AD32/'Ayarlar'!$B$7,0))/(52/12),0)),10&lt;='Ayarlar'!$B$6),IF('Proje girdileri'!AT32=0,MIN('Proje girdileri'!AH32,'Ayarlar'!$B$6-10+1),(1-POWER(1-'Proje girdileri'!AT32,MIN('Proje girdileri'!AH32,'Ayarlar'!$B$6-10+1)))/'Proje girdileri'!AT32),0)+IF(AND(11&gt;IF('Ayarlar'!$B$7&lt;=0,99,ROUNDUP(MAX('Proje girdileri'!AC32,ROUNDUP('Proje girdileri'!AD32/'Ayarlar'!$B$7,0))/(52/12),0)),11&lt;='Ayarlar'!$B$6),IF('Proje girdileri'!AT32=0,MIN('Proje girdileri'!AH32,'Ayarlar'!$B$6-11+1),(1-POWER(1-'Proje girdileri'!AT32,MIN('Proje girdileri'!AH32,'Ayarlar'!$B$6-11+1)))/'Proje girdileri'!AT32),0)+IF(AND(12&gt;IF('Ayarlar'!$B$7&lt;=0,99,ROUNDUP(MAX('Proje girdileri'!AC32,ROUNDUP('Proje girdileri'!AD32/'Ayarlar'!$B$7,0))/(52/12),0)),12&lt;='Ayarlar'!$B$6),IF('Proje girdileri'!AT32=0,MIN('Proje girdileri'!AH32,'Ayarlar'!$B$6-12+1),(1-POWER(1-'Proje girdileri'!AT32,MIN('Proje girdileri'!AH32,'Ayarlar'!$B$6-12+1)))/'Proje girdileri'!AT32),0))/MAX(0,'Ayarlar'!$B$6-IF('Ayarlar'!$B$7&lt;=0,99,ROUNDUP(MAX('Proje girdileri'!AC32,ROUNDUP('Proje girdileri'!AD32/'Ayarlar'!$B$7,0))/(52/12),0)))),1))</x:f>
        <x:v>1</x:v>
      </x:c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 t="str">
        <x:f>'Proje girdileri'!A33</x:f>
        <x:v>Aile-29</x:v>
      </x:c>
      <x:c r="B33" s="2" t="str">
        <x:f>'Proje girdileri'!B33</x:f>
        <x:v>Luquit entegrasyon</x:v>
      </x:c>
      <x:c r="C33" s="2" t="str">
        <x:f>IF(OR(COUNT('Proje girdileri'!D33:H33)&lt;&gt;5,MIN('Proje girdileri'!D33:H33)&lt;0,MAX('Proje girdileri'!D33:H33)&gt;2),"Yalnız deney",IF(MIN('Proje girdileri'!D33:H33)=0,"Kapsam/engel",IF(MIN('Proje girdileri'!D33:H33)=1,"Yalnız deney","Geçti")))</x:f>
        <x:v>Yalnız deney</x:v>
      </x:c>
      <x:c r="D33" s="23" t="n">
        <x:f>IF(AND(COUNT('Proje girdileri'!I33:X33)=16,MIN('Proje girdileri'!I33:X33)&gt;=0,MAX('Proje girdileri'!I33:X33)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girdileri'!I33:X33,'Proje girdileri'!$I$2:$X$2)/5*100,"n.a.")</x:f>
        <x:v>52.500000000000014</x:v>
      </x:c>
      <x:c r="E33" s="23" t="n">
        <x:f>IF(AND(COUNT('Proje girdileri'!I33:X33)=16,MIN('Proje girdileri'!I33:X33)&gt;=0,MAX('Proje girdileri'!I33:X33)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girdileri'!I33:X33,'Proje girdileri'!$I$3:$X$3)/5*100,"n.a.")</x:f>
        <x:v>52.100000000000016</x:v>
      </x:c>
      <x:c r="F33" s="2" t="n">
        <x:f>IF(OR(COUNT('Ayarlar'!$B$5:$B$9)&lt;&gt;5,MIN('Ayarlar'!$B$5:$B$7)&lt;=0,MIN('Ayarlar'!$B$8:$B$9)&lt;0,NOT(ISNUMBER(H33)),H33&lt;=0),"n.a.",ROUNDUP(('Ayarlar'!$B$5+'Proje girdileri'!AI33+'Ayarlar'!$B$6*'Proje girdileri'!AJ33)/H33,0))</x:f>
        <x:v>46</x:v>
      </x:c>
      <x:c r="G33" s="2" t="n">
        <x:f>IF(OR('Proje girdileri'!C33="internal",'Proje girdileri'!AE33+'Proje girdileri'!AF33+'Proje girdileri'!AG33*U33&lt;=0),0,MAX(0,ROUNDDOWN((MIN(T33*'Ayarlar'!$B$7,'Ayarlar'!$B$6*52/12*'Ayarlar'!$B$7-'Proje girdileri'!AD33)-T33*'Proje girdileri'!AK33)/('Proje girdileri'!AE33+'Proje girdileri'!AF33+'Proje girdileri'!AG33*U33),0)))</x:f>
        <x:v>98</x:v>
      </x:c>
      <x:c r="H33" s="24" t="n">
        <x:f>IF(COUNT('Proje girdileri'!Y33:AL33)&lt;&gt;14,"n.a.",('Proje girdileri'!Y33*(1-'Proje girdileri'!AA33-'Proje girdileri'!AB33)-'Proje girdileri'!Z33)*U33)</x:f>
        <x:v>69.1</x:v>
      </x:c>
      <x:c r="I33" s="24" t="n">
        <x:f>IF(ISNUMBER(H33),IF(H33&gt;0,MIN('Proje girdileri'!AL33,G33),0),"n.a.")</x:f>
        <x:v>15</x:v>
      </x:c>
      <x:c r="J33" s="24" t="n">
        <x:f>IF(ISNUMBER(H33),I33*H33-'Proje girdileri'!AI33-'Ayarlar'!$B$6*'Proje girdileri'!AJ33,"n.a.")</x:f>
        <x:v>913.5</x:v>
      </x:c>
      <x:c r="K33" s="23" t="n">
        <x:f>IF(ISNUMBER(I33),'Proje girdileri'!AD33+T33*'Proje girdileri'!AK33+I33*('Proje girdileri'!AE33+'Proje girdileri'!AF33+'Proje girdileri'!AG33*U33),"n.a.")</x:f>
        <x:v>58.75</x:v>
      </x:c>
      <x:c r="L33" s="23" t="n">
        <x:f>IF(ISNUMBER(J33),J33-K33*'Ayarlar'!$B$9,"n.a.")</x:f>
        <x:v>-555.25</x:v>
      </x:c>
      <x:c r="M33" s="23" t="n">
        <x:f>IF(AND(ISNUMBER(K33),'Ayarlar'!$B$6&gt;0),K33/('Ayarlar'!$B$6*52/12),"n.a.")</x:f>
        <x:v>2.2596153846153846</x:v>
      </x:c>
      <x:c r="N33" s="2" t="str">
        <x:f>IF('Proje girdileri'!AI33&lt;='Ayarlar'!$B$8,"Sığar","Aşar")</x:f>
        <x:v>Sığar</x:v>
      </x:c>
      <x:c r="O33" s="2" t="str">
        <x:f>IF(ISNUMBER(F33),IF(F33&lt;=G33,"Sığar","Aşar"),"n.a.")</x:f>
        <x:v>Sığar</x:v>
      </x:c>
      <x:c r="P33" s="2" t="n">
        <x:f>IF(OR(C33="Kapsam/engel",NOT(ISNUMBER(D33))),"n.a.",COUNTIFS($D$5:$D$50,"&gt;"&amp;D33,$C$5:$C$50,"&lt;&gt;Kapsam/engel")+COUNTIFS($D$5:D33,D33,$C$5:C33,"&lt;&gt;Kapsam/engel"))</x:f>
        <x:v>7</x:v>
      </x:c>
      <x:c r="Q33" s="2" t="n">
        <x:f>IF(OR(C33="Kapsam/engel",NOT(ISNUMBER(E33))),"n.a.",COUNTIFS($E$5:$E$50,"&gt;"&amp;E33,$C$5:$C$50,"&lt;&gt;Kapsam/engel")+COUNTIFS($E$5:E33,E33,$C$5:C33,"&lt;&gt;Kapsam/engel"))</x:f>
        <x:v>4</x:v>
      </x:c>
      <x:c r="R33" s="2" t="str">
        <x:f>IF(AND(C33="Geçti",N33="Sığar",O33="Sığar"),COUNTIFS($D$5:$D$50,"&gt;"&amp;D33,$C$5:$C$50,"Geçti",$N$5:$N$50,"Sığar",$O$5:$O$50,"Sığar")+COUNTIFS($D$5:D33,D33,$C$5:C33,"Geçti",$N$5:N33,"Sığar",$O$5:O33,"Sığar"),"n.a.")</x:f>
        <x:v>n.a.</x:v>
      </x:c>
      <x:c r="S33" s="24" t="n">
        <x:f>IF(ISNUMBER(J33),J33-MAX(0,J33)*'Ayarlar'!$B$10,"n.a.")</x:f>
        <x:v>913.5</x:v>
      </x:c>
      <x:c r="T33" s="2" t="n">
        <x:f>IF('Ayarlar'!$B$7&lt;=0,0,MAX(0,'Ayarlar'!$B$6*52/12-MAX('Proje girdileri'!AC33,ROUNDUP('Proje girdileri'!AD33/'Ayarlar'!$B$7,0))))</x:f>
        <x:v>21</x:v>
      </x:c>
      <x:c r="U33" s="2" t="n">
        <x:f>IF(T33=0,0,IF('Proje girdileri'!C33="recurring",IF(MAX(0,'Ayarlar'!$B$6-IF('Ayarlar'!$B$7&lt;=0,99,ROUNDUP(MAX('Proje girdileri'!AC33,ROUNDUP('Proje girdileri'!AD33/'Ayarlar'!$B$7,0))/(52/12),0)))=0,0,(IF(AND(1&gt;IF('Ayarlar'!$B$7&lt;=0,99,ROUNDUP(MAX('Proje girdileri'!AC33,ROUNDUP('Proje girdileri'!AD33/'Ayarlar'!$B$7,0))/(52/12),0)),1&lt;='Ayarlar'!$B$6),IF('Proje girdileri'!AT33=0,MIN('Proje girdileri'!AH33,'Ayarlar'!$B$6-1+1),(1-POWER(1-'Proje girdileri'!AT33,MIN('Proje girdileri'!AH33,'Ayarlar'!$B$6-1+1)))/'Proje girdileri'!AT33),0)+IF(AND(2&gt;IF('Ayarlar'!$B$7&lt;=0,99,ROUNDUP(MAX('Proje girdileri'!AC33,ROUNDUP('Proje girdileri'!AD33/'Ayarlar'!$B$7,0))/(52/12),0)),2&lt;='Ayarlar'!$B$6),IF('Proje girdileri'!AT33=0,MIN('Proje girdileri'!AH33,'Ayarlar'!$B$6-2+1),(1-POWER(1-'Proje girdileri'!AT33,MIN('Proje girdileri'!AH33,'Ayarlar'!$B$6-2+1)))/'Proje girdileri'!AT33),0)+IF(AND(3&gt;IF('Ayarlar'!$B$7&lt;=0,99,ROUNDUP(MAX('Proje girdileri'!AC33,ROUNDUP('Proje girdileri'!AD33/'Ayarlar'!$B$7,0))/(52/12),0)),3&lt;='Ayarlar'!$B$6),IF('Proje girdileri'!AT33=0,MIN('Proje girdileri'!AH33,'Ayarlar'!$B$6-3+1),(1-POWER(1-'Proje girdileri'!AT33,MIN('Proje girdileri'!AH33,'Ayarlar'!$B$6-3+1)))/'Proje girdileri'!AT33),0)+IF(AND(4&gt;IF('Ayarlar'!$B$7&lt;=0,99,ROUNDUP(MAX('Proje girdileri'!AC33,ROUNDUP('Proje girdileri'!AD33/'Ayarlar'!$B$7,0))/(52/12),0)),4&lt;='Ayarlar'!$B$6),IF('Proje girdileri'!AT33=0,MIN('Proje girdileri'!AH33,'Ayarlar'!$B$6-4+1),(1-POWER(1-'Proje girdileri'!AT33,MIN('Proje girdileri'!AH33,'Ayarlar'!$B$6-4+1)))/'Proje girdileri'!AT33),0)+IF(AND(5&gt;IF('Ayarlar'!$B$7&lt;=0,99,ROUNDUP(MAX('Proje girdileri'!AC33,ROUNDUP('Proje girdileri'!AD33/'Ayarlar'!$B$7,0))/(52/12),0)),5&lt;='Ayarlar'!$B$6),IF('Proje girdileri'!AT33=0,MIN('Proje girdileri'!AH33,'Ayarlar'!$B$6-5+1),(1-POWER(1-'Proje girdileri'!AT33,MIN('Proje girdileri'!AH33,'Ayarlar'!$B$6-5+1)))/'Proje girdileri'!AT33),0)+IF(AND(6&gt;IF('Ayarlar'!$B$7&lt;=0,99,ROUNDUP(MAX('Proje girdileri'!AC33,ROUNDUP('Proje girdileri'!AD33/'Ayarlar'!$B$7,0))/(52/12),0)),6&lt;='Ayarlar'!$B$6),IF('Proje girdileri'!AT33=0,MIN('Proje girdileri'!AH33,'Ayarlar'!$B$6-6+1),(1-POWER(1-'Proje girdileri'!AT33,MIN('Proje girdileri'!AH33,'Ayarlar'!$B$6-6+1)))/'Proje girdileri'!AT33),0)+IF(AND(7&gt;IF('Ayarlar'!$B$7&lt;=0,99,ROUNDUP(MAX('Proje girdileri'!AC33,ROUNDUP('Proje girdileri'!AD33/'Ayarlar'!$B$7,0))/(52/12),0)),7&lt;='Ayarlar'!$B$6),IF('Proje girdileri'!AT33=0,MIN('Proje girdileri'!AH33,'Ayarlar'!$B$6-7+1),(1-POWER(1-'Proje girdileri'!AT33,MIN('Proje girdileri'!AH33,'Ayarlar'!$B$6-7+1)))/'Proje girdileri'!AT33),0)+IF(AND(8&gt;IF('Ayarlar'!$B$7&lt;=0,99,ROUNDUP(MAX('Proje girdileri'!AC33,ROUNDUP('Proje girdileri'!AD33/'Ayarlar'!$B$7,0))/(52/12),0)),8&lt;='Ayarlar'!$B$6),IF('Proje girdileri'!AT33=0,MIN('Proje girdileri'!AH33,'Ayarlar'!$B$6-8+1),(1-POWER(1-'Proje girdileri'!AT33,MIN('Proje girdileri'!AH33,'Ayarlar'!$B$6-8+1)))/'Proje girdileri'!AT33),0)+IF(AND(9&gt;IF('Ayarlar'!$B$7&lt;=0,99,ROUNDUP(MAX('Proje girdileri'!AC33,ROUNDUP('Proje girdileri'!AD33/'Ayarlar'!$B$7,0))/(52/12),0)),9&lt;='Ayarlar'!$B$6),IF('Proje girdileri'!AT33=0,MIN('Proje girdileri'!AH33,'Ayarlar'!$B$6-9+1),(1-POWER(1-'Proje girdileri'!AT33,MIN('Proje girdileri'!AH33,'Ayarlar'!$B$6-9+1)))/'Proje girdileri'!AT33),0)+IF(AND(10&gt;IF('Ayarlar'!$B$7&lt;=0,99,ROUNDUP(MAX('Proje girdileri'!AC33,ROUNDUP('Proje girdileri'!AD33/'Ayarlar'!$B$7,0))/(52/12),0)),10&lt;='Ayarlar'!$B$6),IF('Proje girdileri'!AT33=0,MIN('Proje girdileri'!AH33,'Ayarlar'!$B$6-10+1),(1-POWER(1-'Proje girdileri'!AT33,MIN('Proje girdileri'!AH33,'Ayarlar'!$B$6-10+1)))/'Proje girdileri'!AT33),0)+IF(AND(11&gt;IF('Ayarlar'!$B$7&lt;=0,99,ROUNDUP(MAX('Proje girdileri'!AC33,ROUNDUP('Proje girdileri'!AD33/'Ayarlar'!$B$7,0))/(52/12),0)),11&lt;='Ayarlar'!$B$6),IF('Proje girdileri'!AT33=0,MIN('Proje girdileri'!AH33,'Ayarlar'!$B$6-11+1),(1-POWER(1-'Proje girdileri'!AT33,MIN('Proje girdileri'!AH33,'Ayarlar'!$B$6-11+1)))/'Proje girdileri'!AT33),0)+IF(AND(12&gt;IF('Ayarlar'!$B$7&lt;=0,99,ROUNDUP(MAX('Proje girdileri'!AC33,ROUNDUP('Proje girdileri'!AD33/'Ayarlar'!$B$7,0))/(52/12),0)),12&lt;='Ayarlar'!$B$6),IF('Proje girdileri'!AT33=0,MIN('Proje girdileri'!AH33,'Ayarlar'!$B$6-12+1),(1-POWER(1-'Proje girdileri'!AT33,MIN('Proje girdileri'!AH33,'Ayarlar'!$B$6-12+1)))/'Proje girdileri'!AT33),0))/MAX(0,'Ayarlar'!$B$6-IF('Ayarlar'!$B$7&lt;=0,99,ROUNDUP(MAX('Proje girdileri'!AC33,ROUNDUP('Proje girdileri'!AD33/'Ayarlar'!$B$7,0))/(52/12),0)))),1))</x:f>
        <x:v>1</x:v>
      </x:c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 t="str">
        <x:f>'Proje girdileri'!A34</x:f>
        <x:v>Aile-30</x:v>
      </x:c>
      <x:c r="B34" s="2" t="str">
        <x:f>'Proje girdileri'!B34</x:f>
        <x:v>Kernel adapter</x:v>
      </x:c>
      <x:c r="C34" s="2" t="str">
        <x:f>IF(OR(COUNT('Proje girdileri'!D34:H34)&lt;&gt;5,MIN('Proje girdileri'!D34:H34)&lt;0,MAX('Proje girdileri'!D34:H34)&gt;2),"Yalnız deney",IF(MIN('Proje girdileri'!D34:H34)=0,"Kapsam/engel",IF(MIN('Proje girdileri'!D34:H34)=1,"Yalnız deney","Geçti")))</x:f>
        <x:v>Kapsam/engel</x:v>
      </x:c>
      <x:c r="D34" s="23" t="n">
        <x:f>IF(AND(COUNT('Proje girdileri'!I34:X34)=16,MIN('Proje girdileri'!I34:X34)&gt;=0,MAX('Proje girdileri'!I34:X34)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girdileri'!I34:X34,'Proje girdileri'!$I$2:$X$2)/5*100,"n.a.")</x:f>
        <x:v>22.900000000000002</x:v>
      </x:c>
      <x:c r="E34" s="23" t="n">
        <x:f>IF(AND(COUNT('Proje girdileri'!I34:X34)=16,MIN('Proje girdileri'!I34:X34)&gt;=0,MAX('Proje girdileri'!I34:X34)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girdileri'!I34:X34,'Proje girdileri'!$I$3:$X$3)/5*100,"n.a.")</x:f>
        <x:v>21.1</x:v>
      </x:c>
      <x:c r="F34" s="2" t="str">
        <x:f>IF(OR(COUNT('Ayarlar'!$B$5:$B$9)&lt;&gt;5,MIN('Ayarlar'!$B$5:$B$7)&lt;=0,MIN('Ayarlar'!$B$8:$B$9)&lt;0,NOT(ISNUMBER(H34)),H34&lt;=0),"n.a.",ROUNDUP(('Ayarlar'!$B$5+'Proje girdileri'!AI34+'Ayarlar'!$B$6*'Proje girdileri'!AJ34)/H34,0))</x:f>
        <x:v>n.a.</x:v>
      </x:c>
      <x:c r="G34" s="2" t="n">
        <x:f>IF(OR('Proje girdileri'!C34="internal",'Proje girdileri'!AE34+'Proje girdileri'!AF34+'Proje girdileri'!AG34*U34&lt;=0),0,MAX(0,ROUNDDOWN((MIN(T34*'Ayarlar'!$B$7,'Ayarlar'!$B$6*52/12*'Ayarlar'!$B$7-'Proje girdileri'!AD34)-T34*'Proje girdileri'!AK34)/('Proje girdileri'!AE34+'Proje girdileri'!AF34+'Proje girdileri'!AG34*U34),0)))</x:f>
        <x:v>0</x:v>
      </x:c>
      <x:c r="H34" s="24" t="n">
        <x:f>IF(COUNT('Proje girdileri'!Y34:AL34)&lt;&gt;14,"n.a.",('Proje girdileri'!Y34*(1-'Proje girdileri'!AA34-'Proje girdileri'!AB34)-'Proje girdileri'!Z34)*U34)</x:f>
        <x:v>0</x:v>
      </x:c>
      <x:c r="I34" s="24" t="n">
        <x:f>IF(ISNUMBER(H34),IF(H34&gt;0,MIN('Proje girdileri'!AL34,G34),0),"n.a.")</x:f>
        <x:v>0</x:v>
      </x:c>
      <x:c r="J34" s="24" t="n">
        <x:f>IF(ISNUMBER(H34),I34*H34-'Proje girdileri'!AI34-'Ayarlar'!$B$6*'Proje girdileri'!AJ34,"n.a.")</x:f>
        <x:v>0</x:v>
      </x:c>
      <x:c r="K34" s="23" t="n">
        <x:f>IF(ISNUMBER(I34),'Proje girdileri'!AD34+T34*'Proje girdileri'!AK34+I34*('Proje girdileri'!AE34+'Proje girdileri'!AF34+'Proje girdileri'!AG34*U34),"n.a.")</x:f>
        <x:v>0</x:v>
      </x:c>
      <x:c r="L34" s="23" t="n">
        <x:f>IF(ISNUMBER(J34),J34-K34*'Ayarlar'!$B$9,"n.a.")</x:f>
        <x:v>0</x:v>
      </x:c>
      <x:c r="M34" s="23" t="n">
        <x:f>IF(AND(ISNUMBER(K34),'Ayarlar'!$B$6&gt;0),K34/('Ayarlar'!$B$6*52/12),"n.a.")</x:f>
        <x:v>0</x:v>
      </x:c>
      <x:c r="N34" s="2" t="str">
        <x:f>IF('Proje girdileri'!AI34&lt;='Ayarlar'!$B$8,"Sığar","Aşar")</x:f>
        <x:v>Sığar</x:v>
      </x:c>
      <x:c r="O34" s="2" t="str">
        <x:f>IF(ISNUMBER(F34),IF(F34&lt;=G34,"Sığar","Aşar"),"n.a.")</x:f>
        <x:v>n.a.</x:v>
      </x:c>
      <x:c r="P34" s="2" t="str">
        <x:f>IF(OR(C34="Kapsam/engel",NOT(ISNUMBER(D34))),"n.a.",COUNTIFS($D$5:$D$50,"&gt;"&amp;D34,$C$5:$C$50,"&lt;&gt;Kapsam/engel")+COUNTIFS($D$5:D34,D34,$C$5:C34,"&lt;&gt;Kapsam/engel"))</x:f>
        <x:v>n.a.</x:v>
      </x:c>
      <x:c r="Q34" s="2" t="str">
        <x:f>IF(OR(C34="Kapsam/engel",NOT(ISNUMBER(E34))),"n.a.",COUNTIFS($E$5:$E$50,"&gt;"&amp;E34,$C$5:$C$50,"&lt;&gt;Kapsam/engel")+COUNTIFS($E$5:E34,E34,$C$5:C34,"&lt;&gt;Kapsam/engel"))</x:f>
        <x:v>n.a.</x:v>
      </x:c>
      <x:c r="R34" s="2" t="str">
        <x:f>IF(AND(C34="Geçti",N34="Sığar",O34="Sığar"),COUNTIFS($D$5:$D$50,"&gt;"&amp;D34,$C$5:$C$50,"Geçti",$N$5:$N$50,"Sığar",$O$5:$O$50,"Sığar")+COUNTIFS($D$5:D34,D34,$C$5:C34,"Geçti",$N$5:N34,"Sığar",$O$5:O34,"Sığar"),"n.a.")</x:f>
        <x:v>n.a.</x:v>
      </x:c>
      <x:c r="S34" s="24" t="n">
        <x:f>IF(ISNUMBER(J34),J34-MAX(0,J34)*'Ayarlar'!$B$10,"n.a.")</x:f>
        <x:v>0</x:v>
      </x:c>
      <x:c r="T34" s="2" t="n">
        <x:f>IF('Ayarlar'!$B$7&lt;=0,0,MAX(0,'Ayarlar'!$B$6*52/12-MAX('Proje girdileri'!AC34,ROUNDUP('Proje girdileri'!AD34/'Ayarlar'!$B$7,0))))</x:f>
        <x:v>26</x:v>
      </x:c>
      <x:c r="U34" s="2" t="n">
        <x:f>IF(T34=0,0,IF('Proje girdileri'!C34="recurring",IF(MAX(0,'Ayarlar'!$B$6-IF('Ayarlar'!$B$7&lt;=0,99,ROUNDUP(MAX('Proje girdileri'!AC34,ROUNDUP('Proje girdileri'!AD34/'Ayarlar'!$B$7,0))/(52/12),0)))=0,0,(IF(AND(1&gt;IF('Ayarlar'!$B$7&lt;=0,99,ROUNDUP(MAX('Proje girdileri'!AC34,ROUNDUP('Proje girdileri'!AD34/'Ayarlar'!$B$7,0))/(52/12),0)),1&lt;='Ayarlar'!$B$6),IF('Proje girdileri'!AT34=0,MIN('Proje girdileri'!AH34,'Ayarlar'!$B$6-1+1),(1-POWER(1-'Proje girdileri'!AT34,MIN('Proje girdileri'!AH34,'Ayarlar'!$B$6-1+1)))/'Proje girdileri'!AT34),0)+IF(AND(2&gt;IF('Ayarlar'!$B$7&lt;=0,99,ROUNDUP(MAX('Proje girdileri'!AC34,ROUNDUP('Proje girdileri'!AD34/'Ayarlar'!$B$7,0))/(52/12),0)),2&lt;='Ayarlar'!$B$6),IF('Proje girdileri'!AT34=0,MIN('Proje girdileri'!AH34,'Ayarlar'!$B$6-2+1),(1-POWER(1-'Proje girdileri'!AT34,MIN('Proje girdileri'!AH34,'Ayarlar'!$B$6-2+1)))/'Proje girdileri'!AT34),0)+IF(AND(3&gt;IF('Ayarlar'!$B$7&lt;=0,99,ROUNDUP(MAX('Proje girdileri'!AC34,ROUNDUP('Proje girdileri'!AD34/'Ayarlar'!$B$7,0))/(52/12),0)),3&lt;='Ayarlar'!$B$6),IF('Proje girdileri'!AT34=0,MIN('Proje girdileri'!AH34,'Ayarlar'!$B$6-3+1),(1-POWER(1-'Proje girdileri'!AT34,MIN('Proje girdileri'!AH34,'Ayarlar'!$B$6-3+1)))/'Proje girdileri'!AT34),0)+IF(AND(4&gt;IF('Ayarlar'!$B$7&lt;=0,99,ROUNDUP(MAX('Proje girdileri'!AC34,ROUNDUP('Proje girdileri'!AD34/'Ayarlar'!$B$7,0))/(52/12),0)),4&lt;='Ayarlar'!$B$6),IF('Proje girdileri'!AT34=0,MIN('Proje girdileri'!AH34,'Ayarlar'!$B$6-4+1),(1-POWER(1-'Proje girdileri'!AT34,MIN('Proje girdileri'!AH34,'Ayarlar'!$B$6-4+1)))/'Proje girdileri'!AT34),0)+IF(AND(5&gt;IF('Ayarlar'!$B$7&lt;=0,99,ROUNDUP(MAX('Proje girdileri'!AC34,ROUNDUP('Proje girdileri'!AD34/'Ayarlar'!$B$7,0))/(52/12),0)),5&lt;='Ayarlar'!$B$6),IF('Proje girdileri'!AT34=0,MIN('Proje girdileri'!AH34,'Ayarlar'!$B$6-5+1),(1-POWER(1-'Proje girdileri'!AT34,MIN('Proje girdileri'!AH34,'Ayarlar'!$B$6-5+1)))/'Proje girdileri'!AT34),0)+IF(AND(6&gt;IF('Ayarlar'!$B$7&lt;=0,99,ROUNDUP(MAX('Proje girdileri'!AC34,ROUNDUP('Proje girdileri'!AD34/'Ayarlar'!$B$7,0))/(52/12),0)),6&lt;='Ayarlar'!$B$6),IF('Proje girdileri'!AT34=0,MIN('Proje girdileri'!AH34,'Ayarlar'!$B$6-6+1),(1-POWER(1-'Proje girdileri'!AT34,MIN('Proje girdileri'!AH34,'Ayarlar'!$B$6-6+1)))/'Proje girdileri'!AT34),0)+IF(AND(7&gt;IF('Ayarlar'!$B$7&lt;=0,99,ROUNDUP(MAX('Proje girdileri'!AC34,ROUNDUP('Proje girdileri'!AD34/'Ayarlar'!$B$7,0))/(52/12),0)),7&lt;='Ayarlar'!$B$6),IF('Proje girdileri'!AT34=0,MIN('Proje girdileri'!AH34,'Ayarlar'!$B$6-7+1),(1-POWER(1-'Proje girdileri'!AT34,MIN('Proje girdileri'!AH34,'Ayarlar'!$B$6-7+1)))/'Proje girdileri'!AT34),0)+IF(AND(8&gt;IF('Ayarlar'!$B$7&lt;=0,99,ROUNDUP(MAX('Proje girdileri'!AC34,ROUNDUP('Proje girdileri'!AD34/'Ayarlar'!$B$7,0))/(52/12),0)),8&lt;='Ayarlar'!$B$6),IF('Proje girdileri'!AT34=0,MIN('Proje girdileri'!AH34,'Ayarlar'!$B$6-8+1),(1-POWER(1-'Proje girdileri'!AT34,MIN('Proje girdileri'!AH34,'Ayarlar'!$B$6-8+1)))/'Proje girdileri'!AT34),0)+IF(AND(9&gt;IF('Ayarlar'!$B$7&lt;=0,99,ROUNDUP(MAX('Proje girdileri'!AC34,ROUNDUP('Proje girdileri'!AD34/'Ayarlar'!$B$7,0))/(52/12),0)),9&lt;='Ayarlar'!$B$6),IF('Proje girdileri'!AT34=0,MIN('Proje girdileri'!AH34,'Ayarlar'!$B$6-9+1),(1-POWER(1-'Proje girdileri'!AT34,MIN('Proje girdileri'!AH34,'Ayarlar'!$B$6-9+1)))/'Proje girdileri'!AT34),0)+IF(AND(10&gt;IF('Ayarlar'!$B$7&lt;=0,99,ROUNDUP(MAX('Proje girdileri'!AC34,ROUNDUP('Proje girdileri'!AD34/'Ayarlar'!$B$7,0))/(52/12),0)),10&lt;='Ayarlar'!$B$6),IF('Proje girdileri'!AT34=0,MIN('Proje girdileri'!AH34,'Ayarlar'!$B$6-10+1),(1-POWER(1-'Proje girdileri'!AT34,MIN('Proje girdileri'!AH34,'Ayarlar'!$B$6-10+1)))/'Proje girdileri'!AT34),0)+IF(AND(11&gt;IF('Ayarlar'!$B$7&lt;=0,99,ROUNDUP(MAX('Proje girdileri'!AC34,ROUNDUP('Proje girdileri'!AD34/'Ayarlar'!$B$7,0))/(52/12),0)),11&lt;='Ayarlar'!$B$6),IF('Proje girdileri'!AT34=0,MIN('Proje girdileri'!AH34,'Ayarlar'!$B$6-11+1),(1-POWER(1-'Proje girdileri'!AT34,MIN('Proje girdileri'!AH34,'Ayarlar'!$B$6-11+1)))/'Proje girdileri'!AT34),0)+IF(AND(12&gt;IF('Ayarlar'!$B$7&lt;=0,99,ROUNDUP(MAX('Proje girdileri'!AC34,ROUNDUP('Proje girdileri'!AD34/'Ayarlar'!$B$7,0))/(52/12),0)),12&lt;='Ayarlar'!$B$6),IF('Proje girdileri'!AT34=0,MIN('Proje girdileri'!AH34,'Ayarlar'!$B$6-12+1),(1-POWER(1-'Proje girdileri'!AT34,MIN('Proje girdileri'!AH34,'Ayarlar'!$B$6-12+1)))/'Proje girdileri'!AT34),0))/MAX(0,'Ayarlar'!$B$6-IF('Ayarlar'!$B$7&lt;=0,99,ROUNDUP(MAX('Proje girdileri'!AC34,ROUNDUP('Proje girdileri'!AD34/'Ayarlar'!$B$7,0))/(52/12),0)))),1))</x:f>
        <x:v>1</x:v>
      </x:c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 t="str">
        <x:f>'Proje girdileri'!A35</x:f>
        <x:v>Aile-31</x:v>
      </x:c>
      <x:c r="B35" s="2" t="str">
        <x:f>'Proje girdileri'!B35</x:f>
        <x:v>Marka kısa liste</x:v>
      </x:c>
      <x:c r="C35" s="2" t="str">
        <x:f>IF(OR(COUNT('Proje girdileri'!D35:H35)&lt;&gt;5,MIN('Proje girdileri'!D35:H35)&lt;0,MAX('Proje girdileri'!D35:H35)&gt;2),"Yalnız deney",IF(MIN('Proje girdileri'!D35:H35)=0,"Kapsam/engel",IF(MIN('Proje girdileri'!D35:H35)=1,"Yalnız deney","Geçti")))</x:f>
        <x:v>Yalnız deney</x:v>
      </x:c>
      <x:c r="D35" s="23" t="n">
        <x:f>IF(AND(COUNT('Proje girdileri'!I35:X35)=16,MIN('Proje girdileri'!I35:X35)&gt;=0,MAX('Proje girdileri'!I35:X35)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girdileri'!I35:X35,'Proje girdileri'!$I$2:$X$2)/5*100,"n.a.")</x:f>
        <x:v>44.80000000000001</x:v>
      </x:c>
      <x:c r="E35" s="23" t="n">
        <x:f>IF(AND(COUNT('Proje girdileri'!I35:X35)=16,MIN('Proje girdileri'!I35:X35)&gt;=0,MAX('Proje girdileri'!I35:X35)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girdileri'!I35:X35,'Proje girdileri'!$I$3:$X$3)/5*100,"n.a.")</x:f>
        <x:v>45.20000000000001</x:v>
      </x:c>
      <x:c r="F35" s="2" t="n">
        <x:f>IF(OR(COUNT('Ayarlar'!$B$5:$B$9)&lt;&gt;5,MIN('Ayarlar'!$B$5:$B$7)&lt;=0,MIN('Ayarlar'!$B$8:$B$9)&lt;0,NOT(ISNUMBER(H35)),H35&lt;=0),"n.a.",ROUNDUP(('Ayarlar'!$B$5+'Proje girdileri'!AI35+'Ayarlar'!$B$6*'Proje girdileri'!AJ35)/H35,0))</x:f>
        <x:v>95</x:v>
      </x:c>
      <x:c r="G35" s="2" t="n">
        <x:f>IF(OR('Proje girdileri'!C35="internal",'Proje girdileri'!AE35+'Proje girdileri'!AF35+'Proje girdileri'!AG35*U35&lt;=0),0,MAX(0,ROUNDDOWN((MIN(T35*'Ayarlar'!$B$7,'Ayarlar'!$B$6*52/12*'Ayarlar'!$B$7-'Proje girdileri'!AD35)-T35*'Proje girdileri'!AK35)/('Proje girdileri'!AE35+'Proje girdileri'!AF35+'Proje girdileri'!AG35*U35),0)))</x:f>
        <x:v>177</x:v>
      </x:c>
      <x:c r="H35" s="24" t="n">
        <x:f>IF(COUNT('Proje girdileri'!Y35:AL35)&lt;&gt;14,"n.a.",('Proje girdileri'!Y35*(1-'Proje girdileri'!AA35-'Proje girdileri'!AB35)-'Proje girdileri'!Z35)*U35)</x:f>
        <x:v>33.099999999999994</x:v>
      </x:c>
      <x:c r="I35" s="24" t="n">
        <x:f>IF(ISNUMBER(H35),IF(H35&gt;0,MIN('Proje girdileri'!AL35,G35),0),"n.a.")</x:f>
        <x:v>15</x:v>
      </x:c>
      <x:c r="J35" s="24" t="n">
        <x:f>IF(ISNUMBER(H35),I35*H35-'Proje girdileri'!AI35-'Ayarlar'!$B$6*'Proje girdileri'!AJ35,"n.a.")</x:f>
        <x:v>373.4999999999999</x:v>
      </x:c>
      <x:c r="K35" s="23" t="n">
        <x:f>IF(ISNUMBER(I35),'Proje girdileri'!AD35+T35*'Proje girdileri'!AK35+I35*('Proje girdileri'!AE35+'Proje girdileri'!AF35+'Proje girdileri'!AG35*U35),"n.a.")</x:f>
        <x:v>56.75</x:v>
      </x:c>
      <x:c r="L35" s="23" t="n">
        <x:f>IF(ISNUMBER(J35),J35-K35*'Ayarlar'!$B$9,"n.a.")</x:f>
        <x:v>-1045.25</x:v>
      </x:c>
      <x:c r="M35" s="23" t="n">
        <x:f>IF(AND(ISNUMBER(K35),'Ayarlar'!$B$6&gt;0),K35/('Ayarlar'!$B$6*52/12),"n.a.")</x:f>
        <x:v>2.1826923076923075</x:v>
      </x:c>
      <x:c r="N35" s="2" t="str">
        <x:f>IF('Proje girdileri'!AI35&lt;='Ayarlar'!$B$8,"Sığar","Aşar")</x:f>
        <x:v>Sığar</x:v>
      </x:c>
      <x:c r="O35" s="2" t="str">
        <x:f>IF(ISNUMBER(F35),IF(F35&lt;=G35,"Sığar","Aşar"),"n.a.")</x:f>
        <x:v>Sığar</x:v>
      </x:c>
      <x:c r="P35" s="2" t="n">
        <x:f>IF(OR(C35="Kapsam/engel",NOT(ISNUMBER(D35))),"n.a.",COUNTIFS($D$5:$D$50,"&gt;"&amp;D35,$C$5:$C$50,"&lt;&gt;Kapsam/engel")+COUNTIFS($D$5:D35,D35,$C$5:C35,"&lt;&gt;Kapsam/engel"))</x:f>
        <x:v>31</x:v>
      </x:c>
      <x:c r="Q35" s="2" t="n">
        <x:f>IF(OR(C35="Kapsam/engel",NOT(ISNUMBER(E35))),"n.a.",COUNTIFS($E$5:$E$50,"&gt;"&amp;E35,$C$5:$C$50,"&lt;&gt;Kapsam/engel")+COUNTIFS($E$5:E35,E35,$C$5:C35,"&lt;&gt;Kapsam/engel"))</x:f>
        <x:v>27</x:v>
      </x:c>
      <x:c r="R35" s="2" t="str">
        <x:f>IF(AND(C35="Geçti",N35="Sığar",O35="Sığar"),COUNTIFS($D$5:$D$50,"&gt;"&amp;D35,$C$5:$C$50,"Geçti",$N$5:$N$50,"Sığar",$O$5:$O$50,"Sığar")+COUNTIFS($D$5:D35,D35,$C$5:C35,"Geçti",$N$5:N35,"Sığar",$O$5:O35,"Sığar"),"n.a.")</x:f>
        <x:v>n.a.</x:v>
      </x:c>
      <x:c r="S35" s="24" t="n">
        <x:f>IF(ISNUMBER(J35),J35-MAX(0,J35)*'Ayarlar'!$B$10,"n.a.")</x:f>
        <x:v>373.4999999999999</x:v>
      </x:c>
      <x:c r="T35" s="2" t="n">
        <x:f>IF('Ayarlar'!$B$7&lt;=0,0,MAX(0,'Ayarlar'!$B$6*52/12-MAX('Proje girdileri'!AC35,ROUNDUP('Proje girdileri'!AD35/'Ayarlar'!$B$7,0))))</x:f>
        <x:v>20</x:v>
      </x:c>
      <x:c r="U35" s="2" t="n">
        <x:f>IF(T35=0,0,IF('Proje girdileri'!C35="recurring",IF(MAX(0,'Ayarlar'!$B$6-IF('Ayarlar'!$B$7&lt;=0,99,ROUNDUP(MAX('Proje girdileri'!AC35,ROUNDUP('Proje girdileri'!AD35/'Ayarlar'!$B$7,0))/(52/12),0)))=0,0,(IF(AND(1&gt;IF('Ayarlar'!$B$7&lt;=0,99,ROUNDUP(MAX('Proje girdileri'!AC35,ROUNDUP('Proje girdileri'!AD35/'Ayarlar'!$B$7,0))/(52/12),0)),1&lt;='Ayarlar'!$B$6),IF('Proje girdileri'!AT35=0,MIN('Proje girdileri'!AH35,'Ayarlar'!$B$6-1+1),(1-POWER(1-'Proje girdileri'!AT35,MIN('Proje girdileri'!AH35,'Ayarlar'!$B$6-1+1)))/'Proje girdileri'!AT35),0)+IF(AND(2&gt;IF('Ayarlar'!$B$7&lt;=0,99,ROUNDUP(MAX('Proje girdileri'!AC35,ROUNDUP('Proje girdileri'!AD35/'Ayarlar'!$B$7,0))/(52/12),0)),2&lt;='Ayarlar'!$B$6),IF('Proje girdileri'!AT35=0,MIN('Proje girdileri'!AH35,'Ayarlar'!$B$6-2+1),(1-POWER(1-'Proje girdileri'!AT35,MIN('Proje girdileri'!AH35,'Ayarlar'!$B$6-2+1)))/'Proje girdileri'!AT35),0)+IF(AND(3&gt;IF('Ayarlar'!$B$7&lt;=0,99,ROUNDUP(MAX('Proje girdileri'!AC35,ROUNDUP('Proje girdileri'!AD35/'Ayarlar'!$B$7,0))/(52/12),0)),3&lt;='Ayarlar'!$B$6),IF('Proje girdileri'!AT35=0,MIN('Proje girdileri'!AH35,'Ayarlar'!$B$6-3+1),(1-POWER(1-'Proje girdileri'!AT35,MIN('Proje girdileri'!AH35,'Ayarlar'!$B$6-3+1)))/'Proje girdileri'!AT35),0)+IF(AND(4&gt;IF('Ayarlar'!$B$7&lt;=0,99,ROUNDUP(MAX('Proje girdileri'!AC35,ROUNDUP('Proje girdileri'!AD35/'Ayarlar'!$B$7,0))/(52/12),0)),4&lt;='Ayarlar'!$B$6),IF('Proje girdileri'!AT35=0,MIN('Proje girdileri'!AH35,'Ayarlar'!$B$6-4+1),(1-POWER(1-'Proje girdileri'!AT35,MIN('Proje girdileri'!AH35,'Ayarlar'!$B$6-4+1)))/'Proje girdileri'!AT35),0)+IF(AND(5&gt;IF('Ayarlar'!$B$7&lt;=0,99,ROUNDUP(MAX('Proje girdileri'!AC35,ROUNDUP('Proje girdileri'!AD35/'Ayarlar'!$B$7,0))/(52/12),0)),5&lt;='Ayarlar'!$B$6),IF('Proje girdileri'!AT35=0,MIN('Proje girdileri'!AH35,'Ayarlar'!$B$6-5+1),(1-POWER(1-'Proje girdileri'!AT35,MIN('Proje girdileri'!AH35,'Ayarlar'!$B$6-5+1)))/'Proje girdileri'!AT35),0)+IF(AND(6&gt;IF('Ayarlar'!$B$7&lt;=0,99,ROUNDUP(MAX('Proje girdileri'!AC35,ROUNDUP('Proje girdileri'!AD35/'Ayarlar'!$B$7,0))/(52/12),0)),6&lt;='Ayarlar'!$B$6),IF('Proje girdileri'!AT35=0,MIN('Proje girdileri'!AH35,'Ayarlar'!$B$6-6+1),(1-POWER(1-'Proje girdileri'!AT35,MIN('Proje girdileri'!AH35,'Ayarlar'!$B$6-6+1)))/'Proje girdileri'!AT35),0)+IF(AND(7&gt;IF('Ayarlar'!$B$7&lt;=0,99,ROUNDUP(MAX('Proje girdileri'!AC35,ROUNDUP('Proje girdileri'!AD35/'Ayarlar'!$B$7,0))/(52/12),0)),7&lt;='Ayarlar'!$B$6),IF('Proje girdileri'!AT35=0,MIN('Proje girdileri'!AH35,'Ayarlar'!$B$6-7+1),(1-POWER(1-'Proje girdileri'!AT35,MIN('Proje girdileri'!AH35,'Ayarlar'!$B$6-7+1)))/'Proje girdileri'!AT35),0)+IF(AND(8&gt;IF('Ayarlar'!$B$7&lt;=0,99,ROUNDUP(MAX('Proje girdileri'!AC35,ROUNDUP('Proje girdileri'!AD35/'Ayarlar'!$B$7,0))/(52/12),0)),8&lt;='Ayarlar'!$B$6),IF('Proje girdileri'!AT35=0,MIN('Proje girdileri'!AH35,'Ayarlar'!$B$6-8+1),(1-POWER(1-'Proje girdileri'!AT35,MIN('Proje girdileri'!AH35,'Ayarlar'!$B$6-8+1)))/'Proje girdileri'!AT35),0)+IF(AND(9&gt;IF('Ayarlar'!$B$7&lt;=0,99,ROUNDUP(MAX('Proje girdileri'!AC35,ROUNDUP('Proje girdileri'!AD35/'Ayarlar'!$B$7,0))/(52/12),0)),9&lt;='Ayarlar'!$B$6),IF('Proje girdileri'!AT35=0,MIN('Proje girdileri'!AH35,'Ayarlar'!$B$6-9+1),(1-POWER(1-'Proje girdileri'!AT35,MIN('Proje girdileri'!AH35,'Ayarlar'!$B$6-9+1)))/'Proje girdileri'!AT35),0)+IF(AND(10&gt;IF('Ayarlar'!$B$7&lt;=0,99,ROUNDUP(MAX('Proje girdileri'!AC35,ROUNDUP('Proje girdileri'!AD35/'Ayarlar'!$B$7,0))/(52/12),0)),10&lt;='Ayarlar'!$B$6),IF('Proje girdileri'!AT35=0,MIN('Proje girdileri'!AH35,'Ayarlar'!$B$6-10+1),(1-POWER(1-'Proje girdileri'!AT35,MIN('Proje girdileri'!AH35,'Ayarlar'!$B$6-10+1)))/'Proje girdileri'!AT35),0)+IF(AND(11&gt;IF('Ayarlar'!$B$7&lt;=0,99,ROUNDUP(MAX('Proje girdileri'!AC35,ROUNDUP('Proje girdileri'!AD35/'Ayarlar'!$B$7,0))/(52/12),0)),11&lt;='Ayarlar'!$B$6),IF('Proje girdileri'!AT35=0,MIN('Proje girdileri'!AH35,'Ayarlar'!$B$6-11+1),(1-POWER(1-'Proje girdileri'!AT35,MIN('Proje girdileri'!AH35,'Ayarlar'!$B$6-11+1)))/'Proje girdileri'!AT35),0)+IF(AND(12&gt;IF('Ayarlar'!$B$7&lt;=0,99,ROUNDUP(MAX('Proje girdileri'!AC35,ROUNDUP('Proje girdileri'!AD35/'Ayarlar'!$B$7,0))/(52/12),0)),12&lt;='Ayarlar'!$B$6),IF('Proje girdileri'!AT35=0,MIN('Proje girdileri'!AH35,'Ayarlar'!$B$6-12+1),(1-POWER(1-'Proje girdileri'!AT35,MIN('Proje girdileri'!AH35,'Ayarlar'!$B$6-12+1)))/'Proje girdileri'!AT35),0))/MAX(0,'Ayarlar'!$B$6-IF('Ayarlar'!$B$7&lt;=0,99,ROUNDUP(MAX('Proje girdileri'!AC35,ROUNDUP('Proje girdileri'!AD35/'Ayarlar'!$B$7,0))/(52/12),0)))),1))</x:f>
        <x:v>1</x:v>
      </x:c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 t="str">
        <x:f>'Proje girdileri'!A36</x:f>
        <x:v>Aile-32</x:v>
      </x:c>
      <x:c r="B36" s="2" t="str">
        <x:f>'Proje girdileri'!B36</x:f>
        <x:v>Projector içerik</x:v>
      </x:c>
      <x:c r="C36" s="2" t="str">
        <x:f>IF(OR(COUNT('Proje girdileri'!D36:H36)&lt;&gt;5,MIN('Proje girdileri'!D36:H36)&lt;0,MAX('Proje girdileri'!D36:H36)&gt;2),"Yalnız deney",IF(MIN('Proje girdileri'!D36:H36)=0,"Kapsam/engel",IF(MIN('Proje girdileri'!D36:H36)=1,"Yalnız deney","Geçti")))</x:f>
        <x:v>Yalnız deney</x:v>
      </x:c>
      <x:c r="D36" s="23" t="n">
        <x:f>IF(AND(COUNT('Proje girdileri'!I36:X36)=16,MIN('Proje girdileri'!I36:X36)&gt;=0,MAX('Proje girdileri'!I36:X36)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girdileri'!I36:X36,'Proje girdileri'!$I$2:$X$2)/5*100,"n.a.")</x:f>
        <x:v>50.6</x:v>
      </x:c>
      <x:c r="E36" s="23" t="n">
        <x:f>IF(AND(COUNT('Proje girdileri'!I36:X36)=16,MIN('Proje girdileri'!I36:X36)&gt;=0,MAX('Proje girdileri'!I36:X36)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girdileri'!I36:X36,'Proje girdileri'!$I$3:$X$3)/5*100,"n.a.")</x:f>
        <x:v>49.00000000000001</x:v>
      </x:c>
      <x:c r="F36" s="2" t="n">
        <x:f>IF(OR(COUNT('Ayarlar'!$B$5:$B$9)&lt;&gt;5,MIN('Ayarlar'!$B$5:$B$7)&lt;=0,MIN('Ayarlar'!$B$8:$B$9)&lt;0,NOT(ISNUMBER(H36)),H36&lt;=0),"n.a.",ROUNDUP(('Ayarlar'!$B$5+'Proje girdileri'!AI36+'Ayarlar'!$B$6*'Proje girdileri'!AJ36)/H36,0))</x:f>
        <x:v>20</x:v>
      </x:c>
      <x:c r="G36" s="2" t="n">
        <x:f>IF(OR('Proje girdileri'!C36="internal",'Proje girdileri'!AE36+'Proje girdileri'!AF36+'Proje girdileri'!AG36*U36&lt;=0),0,MAX(0,ROUNDDOWN((MIN(T36*'Ayarlar'!$B$7,'Ayarlar'!$B$6*52/12*'Ayarlar'!$B$7-'Proje girdileri'!AD36)-T36*'Proje girdileri'!AK36)/('Proje girdileri'!AE36+'Proje girdileri'!AF36+'Proje girdileri'!AG36*U36),0)))</x:f>
        <x:v>19</x:v>
      </x:c>
      <x:c r="H36" s="24" t="n">
        <x:f>IF(COUNT('Proje girdileri'!Y36:AL36)&lt;&gt;14,"n.a.",('Proje girdileri'!Y36*(1-'Proje girdileri'!AA36-'Proje girdileri'!AB36)-'Proje girdileri'!Z36)*U36)</x:f>
        <x:v>159.99999999999997</x:v>
      </x:c>
      <x:c r="I36" s="24" t="n">
        <x:f>IF(ISNUMBER(H36),IF(H36&gt;0,MIN('Proje girdileri'!AL36,G36),0),"n.a.")</x:f>
        <x:v>15</x:v>
      </x:c>
      <x:c r="J36" s="24" t="n">
        <x:f>IF(ISNUMBER(H36),I36*H36-'Proje girdileri'!AI36-'Ayarlar'!$B$6*'Proje girdileri'!AJ36,"n.a.")</x:f>
        <x:v>2276.9999999999995</x:v>
      </x:c>
      <x:c r="K36" s="23" t="n">
        <x:f>IF(ISNUMBER(I36),'Proje girdileri'!AD36+T36*'Proje girdileri'!AK36+I36*('Proje girdileri'!AE36+'Proje girdileri'!AF36+'Proje girdileri'!AG36*U36),"n.a.")</x:f>
        <x:v>111.5</x:v>
      </x:c>
      <x:c r="L36" s="23" t="n">
        <x:f>IF(ISNUMBER(J36),J36-K36*'Ayarlar'!$B$9,"n.a.")</x:f>
        <x:v>-510.50000000000045</x:v>
      </x:c>
      <x:c r="M36" s="23" t="n">
        <x:f>IF(AND(ISNUMBER(K36),'Ayarlar'!$B$6&gt;0),K36/('Ayarlar'!$B$6*52/12),"n.a.")</x:f>
        <x:v>4.288461538461538</x:v>
      </x:c>
      <x:c r="N36" s="2" t="str">
        <x:f>IF('Proje girdileri'!AI36&lt;='Ayarlar'!$B$8,"Sığar","Aşar")</x:f>
        <x:v>Sığar</x:v>
      </x:c>
      <x:c r="O36" s="2" t="str">
        <x:f>IF(ISNUMBER(F36),IF(F36&lt;=G36,"Sığar","Aşar"),"n.a.")</x:f>
        <x:v>Aşar</x:v>
      </x:c>
      <x:c r="P36" s="2" t="n">
        <x:f>IF(OR(C36="Kapsam/engel",NOT(ISNUMBER(D36))),"n.a.",COUNTIFS($D$5:$D$50,"&gt;"&amp;D36,$C$5:$C$50,"&lt;&gt;Kapsam/engel")+COUNTIFS($D$5:D36,D36,$C$5:C36,"&lt;&gt;Kapsam/engel"))</x:f>
        <x:v>15</x:v>
      </x:c>
      <x:c r="Q36" s="2" t="n">
        <x:f>IF(OR(C36="Kapsam/engel",NOT(ISNUMBER(E36))),"n.a.",COUNTIFS($E$5:$E$50,"&gt;"&amp;E36,$C$5:$C$50,"&lt;&gt;Kapsam/engel")+COUNTIFS($E$5:E36,E36,$C$5:C36,"&lt;&gt;Kapsam/engel"))</x:f>
        <x:v>16</x:v>
      </x:c>
      <x:c r="R36" s="2" t="str">
        <x:f>IF(AND(C36="Geçti",N36="Sığar",O36="Sığar"),COUNTIFS($D$5:$D$50,"&gt;"&amp;D36,$C$5:$C$50,"Geçti",$N$5:$N$50,"Sığar",$O$5:$O$50,"Sığar")+COUNTIFS($D$5:D36,D36,$C$5:C36,"Geçti",$N$5:N36,"Sığar",$O$5:O36,"Sığar"),"n.a.")</x:f>
        <x:v>n.a.</x:v>
      </x:c>
      <x:c r="S36" s="24" t="n">
        <x:f>IF(ISNUMBER(J36),J36-MAX(0,J36)*'Ayarlar'!$B$10,"n.a.")</x:f>
        <x:v>2276.9999999999995</x:v>
      </x:c>
      <x:c r="T36" s="2" t="n">
        <x:f>IF('Ayarlar'!$B$7&lt;=0,0,MAX(0,'Ayarlar'!$B$6*52/12-MAX('Proje girdileri'!AC36,ROUNDUP('Proje girdileri'!AD36/'Ayarlar'!$B$7,0))))</x:f>
        <x:v>20</x:v>
      </x:c>
      <x:c r="U36" s="2" t="n">
        <x:f>IF(T36=0,0,IF('Proje girdileri'!C36="recurring",IF(MAX(0,'Ayarlar'!$B$6-IF('Ayarlar'!$B$7&lt;=0,99,ROUNDUP(MAX('Proje girdileri'!AC36,ROUNDUP('Proje girdileri'!AD36/'Ayarlar'!$B$7,0))/(52/12),0)))=0,0,(IF(AND(1&gt;IF('Ayarlar'!$B$7&lt;=0,99,ROUNDUP(MAX('Proje girdileri'!AC36,ROUNDUP('Proje girdileri'!AD36/'Ayarlar'!$B$7,0))/(52/12),0)),1&lt;='Ayarlar'!$B$6),IF('Proje girdileri'!AT36=0,MIN('Proje girdileri'!AH36,'Ayarlar'!$B$6-1+1),(1-POWER(1-'Proje girdileri'!AT36,MIN('Proje girdileri'!AH36,'Ayarlar'!$B$6-1+1)))/'Proje girdileri'!AT36),0)+IF(AND(2&gt;IF('Ayarlar'!$B$7&lt;=0,99,ROUNDUP(MAX('Proje girdileri'!AC36,ROUNDUP('Proje girdileri'!AD36/'Ayarlar'!$B$7,0))/(52/12),0)),2&lt;='Ayarlar'!$B$6),IF('Proje girdileri'!AT36=0,MIN('Proje girdileri'!AH36,'Ayarlar'!$B$6-2+1),(1-POWER(1-'Proje girdileri'!AT36,MIN('Proje girdileri'!AH36,'Ayarlar'!$B$6-2+1)))/'Proje girdileri'!AT36),0)+IF(AND(3&gt;IF('Ayarlar'!$B$7&lt;=0,99,ROUNDUP(MAX('Proje girdileri'!AC36,ROUNDUP('Proje girdileri'!AD36/'Ayarlar'!$B$7,0))/(52/12),0)),3&lt;='Ayarlar'!$B$6),IF('Proje girdileri'!AT36=0,MIN('Proje girdileri'!AH36,'Ayarlar'!$B$6-3+1),(1-POWER(1-'Proje girdileri'!AT36,MIN('Proje girdileri'!AH36,'Ayarlar'!$B$6-3+1)))/'Proje girdileri'!AT36),0)+IF(AND(4&gt;IF('Ayarlar'!$B$7&lt;=0,99,ROUNDUP(MAX('Proje girdileri'!AC36,ROUNDUP('Proje girdileri'!AD36/'Ayarlar'!$B$7,0))/(52/12),0)),4&lt;='Ayarlar'!$B$6),IF('Proje girdileri'!AT36=0,MIN('Proje girdileri'!AH36,'Ayarlar'!$B$6-4+1),(1-POWER(1-'Proje girdileri'!AT36,MIN('Proje girdileri'!AH36,'Ayarlar'!$B$6-4+1)))/'Proje girdileri'!AT36),0)+IF(AND(5&gt;IF('Ayarlar'!$B$7&lt;=0,99,ROUNDUP(MAX('Proje girdileri'!AC36,ROUNDUP('Proje girdileri'!AD36/'Ayarlar'!$B$7,0))/(52/12),0)),5&lt;='Ayarlar'!$B$6),IF('Proje girdileri'!AT36=0,MIN('Proje girdileri'!AH36,'Ayarlar'!$B$6-5+1),(1-POWER(1-'Proje girdileri'!AT36,MIN('Proje girdileri'!AH36,'Ayarlar'!$B$6-5+1)))/'Proje girdileri'!AT36),0)+IF(AND(6&gt;IF('Ayarlar'!$B$7&lt;=0,99,ROUNDUP(MAX('Proje girdileri'!AC36,ROUNDUP('Proje girdileri'!AD36/'Ayarlar'!$B$7,0))/(52/12),0)),6&lt;='Ayarlar'!$B$6),IF('Proje girdileri'!AT36=0,MIN('Proje girdileri'!AH36,'Ayarlar'!$B$6-6+1),(1-POWER(1-'Proje girdileri'!AT36,MIN('Proje girdileri'!AH36,'Ayarlar'!$B$6-6+1)))/'Proje girdileri'!AT36),0)+IF(AND(7&gt;IF('Ayarlar'!$B$7&lt;=0,99,ROUNDUP(MAX('Proje girdileri'!AC36,ROUNDUP('Proje girdileri'!AD36/'Ayarlar'!$B$7,0))/(52/12),0)),7&lt;='Ayarlar'!$B$6),IF('Proje girdileri'!AT36=0,MIN('Proje girdileri'!AH36,'Ayarlar'!$B$6-7+1),(1-POWER(1-'Proje girdileri'!AT36,MIN('Proje girdileri'!AH36,'Ayarlar'!$B$6-7+1)))/'Proje girdileri'!AT36),0)+IF(AND(8&gt;IF('Ayarlar'!$B$7&lt;=0,99,ROUNDUP(MAX('Proje girdileri'!AC36,ROUNDUP('Proje girdileri'!AD36/'Ayarlar'!$B$7,0))/(52/12),0)),8&lt;='Ayarlar'!$B$6),IF('Proje girdileri'!AT36=0,MIN('Proje girdileri'!AH36,'Ayarlar'!$B$6-8+1),(1-POWER(1-'Proje girdileri'!AT36,MIN('Proje girdileri'!AH36,'Ayarlar'!$B$6-8+1)))/'Proje girdileri'!AT36),0)+IF(AND(9&gt;IF('Ayarlar'!$B$7&lt;=0,99,ROUNDUP(MAX('Proje girdileri'!AC36,ROUNDUP('Proje girdileri'!AD36/'Ayarlar'!$B$7,0))/(52/12),0)),9&lt;='Ayarlar'!$B$6),IF('Proje girdileri'!AT36=0,MIN('Proje girdileri'!AH36,'Ayarlar'!$B$6-9+1),(1-POWER(1-'Proje girdileri'!AT36,MIN('Proje girdileri'!AH36,'Ayarlar'!$B$6-9+1)))/'Proje girdileri'!AT36),0)+IF(AND(10&gt;IF('Ayarlar'!$B$7&lt;=0,99,ROUNDUP(MAX('Proje girdileri'!AC36,ROUNDUP('Proje girdileri'!AD36/'Ayarlar'!$B$7,0))/(52/12),0)),10&lt;='Ayarlar'!$B$6),IF('Proje girdileri'!AT36=0,MIN('Proje girdileri'!AH36,'Ayarlar'!$B$6-10+1),(1-POWER(1-'Proje girdileri'!AT36,MIN('Proje girdileri'!AH36,'Ayarlar'!$B$6-10+1)))/'Proje girdileri'!AT36),0)+IF(AND(11&gt;IF('Ayarlar'!$B$7&lt;=0,99,ROUNDUP(MAX('Proje girdileri'!AC36,ROUNDUP('Proje girdileri'!AD36/'Ayarlar'!$B$7,0))/(52/12),0)),11&lt;='Ayarlar'!$B$6),IF('Proje girdileri'!AT36=0,MIN('Proje girdileri'!AH36,'Ayarlar'!$B$6-11+1),(1-POWER(1-'Proje girdileri'!AT36,MIN('Proje girdileri'!AH36,'Ayarlar'!$B$6-11+1)))/'Proje girdileri'!AT36),0)+IF(AND(12&gt;IF('Ayarlar'!$B$7&lt;=0,99,ROUNDUP(MAX('Proje girdileri'!AC36,ROUNDUP('Proje girdileri'!AD36/'Ayarlar'!$B$7,0))/(52/12),0)),12&lt;='Ayarlar'!$B$6),IF('Proje girdileri'!AT36=0,MIN('Proje girdileri'!AH36,'Ayarlar'!$B$6-12+1),(1-POWER(1-'Proje girdileri'!AT36,MIN('Proje girdileri'!AH36,'Ayarlar'!$B$6-12+1)))/'Proje girdileri'!AT36),0))/MAX(0,'Ayarlar'!$B$6-IF('Ayarlar'!$B$7&lt;=0,99,ROUNDUP(MAX('Proje girdileri'!AC36,ROUNDUP('Proje girdileri'!AD36/'Ayarlar'!$B$7,0))/(52/12),0)))),1))</x:f>
        <x:v>1</x:v>
      </x:c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 t="str">
        <x:f>'Proje girdileri'!A37</x:f>
        <x:v>Aile-33</x:v>
      </x:c>
      <x:c r="B37" s="2" t="str">
        <x:f>'Proje girdileri'!B37</x:f>
        <x:v>Anonim kurucu şablonu</x:v>
      </x:c>
      <x:c r="C37" s="2" t="str">
        <x:f>IF(OR(COUNT('Proje girdileri'!D37:H37)&lt;&gt;5,MIN('Proje girdileri'!D37:H37)&lt;0,MAX('Proje girdileri'!D37:H37)&gt;2),"Yalnız deney",IF(MIN('Proje girdileri'!D37:H37)=0,"Kapsam/engel",IF(MIN('Proje girdileri'!D37:H37)=1,"Yalnız deney","Geçti")))</x:f>
        <x:v>Yalnız deney</x:v>
      </x:c>
      <x:c r="D37" s="23" t="n">
        <x:f>IF(AND(COUNT('Proje girdileri'!I37:X37)=16,MIN('Proje girdileri'!I37:X37)&gt;=0,MAX('Proje girdileri'!I37:X37)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girdileri'!I37:X37,'Proje girdileri'!$I$2:$X$2)/5*100,"n.a.")</x:f>
        <x:v>45.00000000000001</x:v>
      </x:c>
      <x:c r="E37" s="23" t="n">
        <x:f>IF(AND(COUNT('Proje girdileri'!I37:X37)=16,MIN('Proje girdileri'!I37:X37)&gt;=0,MAX('Proje girdileri'!I37:X37)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girdileri'!I37:X37,'Proje girdileri'!$I$3:$X$3)/5*100,"n.a.")</x:f>
        <x:v>45.4</x:v>
      </x:c>
      <x:c r="F37" s="2" t="n">
        <x:f>IF(OR(COUNT('Ayarlar'!$B$5:$B$9)&lt;&gt;5,MIN('Ayarlar'!$B$5:$B$7)&lt;=0,MIN('Ayarlar'!$B$8:$B$9)&lt;0,NOT(ISNUMBER(H37)),H37&lt;=0),"n.a.",ROUNDUP(('Ayarlar'!$B$5+'Proje girdileri'!AI37+'Ayarlar'!$B$6*'Proje girdileri'!AJ37)/H37,0))</x:f>
        <x:v>95</x:v>
      </x:c>
      <x:c r="G37" s="2" t="n">
        <x:f>IF(OR('Proje girdileri'!C37="internal",'Proje girdileri'!AE37+'Proje girdileri'!AF37+'Proje girdileri'!AG37*U37&lt;=0),0,MAX(0,ROUNDDOWN((MIN(T37*'Ayarlar'!$B$7,'Ayarlar'!$B$6*52/12*'Ayarlar'!$B$7-'Proje girdileri'!AD37)-T37*'Proje girdileri'!AK37)/('Proje girdileri'!AE37+'Proje girdileri'!AF37+'Proje girdileri'!AG37*U37),0)))</x:f>
        <x:v>177</x:v>
      </x:c>
      <x:c r="H37" s="24" t="n">
        <x:f>IF(COUNT('Proje girdileri'!Y37:AL37)&lt;&gt;14,"n.a.",('Proje girdileri'!Y37*(1-'Proje girdileri'!AA37-'Proje girdileri'!AB37)-'Proje girdileri'!Z37)*U37)</x:f>
        <x:v>33.099999999999994</x:v>
      </x:c>
      <x:c r="I37" s="24" t="n">
        <x:f>IF(ISNUMBER(H37),IF(H37&gt;0,MIN('Proje girdileri'!AL37,G37),0),"n.a.")</x:f>
        <x:v>15</x:v>
      </x:c>
      <x:c r="J37" s="24" t="n">
        <x:f>IF(ISNUMBER(H37),I37*H37-'Proje girdileri'!AI37-'Ayarlar'!$B$6*'Proje girdileri'!AJ37,"n.a.")</x:f>
        <x:v>373.4999999999999</x:v>
      </x:c>
      <x:c r="K37" s="23" t="n">
        <x:f>IF(ISNUMBER(I37),'Proje girdileri'!AD37+T37*'Proje girdileri'!AK37+I37*('Proje girdileri'!AE37+'Proje girdileri'!AF37+'Proje girdileri'!AG37*U37),"n.a.")</x:f>
        <x:v>56.75</x:v>
      </x:c>
      <x:c r="L37" s="23" t="n">
        <x:f>IF(ISNUMBER(J37),J37-K37*'Ayarlar'!$B$9,"n.a.")</x:f>
        <x:v>-1045.25</x:v>
      </x:c>
      <x:c r="M37" s="23" t="n">
        <x:f>IF(AND(ISNUMBER(K37),'Ayarlar'!$B$6&gt;0),K37/('Ayarlar'!$B$6*52/12),"n.a.")</x:f>
        <x:v>2.1826923076923075</x:v>
      </x:c>
      <x:c r="N37" s="2" t="str">
        <x:f>IF('Proje girdileri'!AI37&lt;='Ayarlar'!$B$8,"Sığar","Aşar")</x:f>
        <x:v>Sığar</x:v>
      </x:c>
      <x:c r="O37" s="2" t="str">
        <x:f>IF(ISNUMBER(F37),IF(F37&lt;=G37,"Sığar","Aşar"),"n.a.")</x:f>
        <x:v>Sığar</x:v>
      </x:c>
      <x:c r="P37" s="2" t="n">
        <x:f>IF(OR(C37="Kapsam/engel",NOT(ISNUMBER(D37))),"n.a.",COUNTIFS($D$5:$D$50,"&gt;"&amp;D37,$C$5:$C$50,"&lt;&gt;Kapsam/engel")+COUNTIFS($D$5:D37,D37,$C$5:C37,"&lt;&gt;Kapsam/engel"))</x:f>
        <x:v>30</x:v>
      </x:c>
      <x:c r="Q37" s="2" t="n">
        <x:f>IF(OR(C37="Kapsam/engel",NOT(ISNUMBER(E37))),"n.a.",COUNTIFS($E$5:$E$50,"&gt;"&amp;E37,$C$5:$C$50,"&lt;&gt;Kapsam/engel")+COUNTIFS($E$5:E37,E37,$C$5:C37,"&lt;&gt;Kapsam/engel"))</x:f>
        <x:v>26</x:v>
      </x:c>
      <x:c r="R37" s="2" t="str">
        <x:f>IF(AND(C37="Geçti",N37="Sığar",O37="Sığar"),COUNTIFS($D$5:$D$50,"&gt;"&amp;D37,$C$5:$C$50,"Geçti",$N$5:$N$50,"Sığar",$O$5:$O$50,"Sığar")+COUNTIFS($D$5:D37,D37,$C$5:C37,"Geçti",$N$5:N37,"Sığar",$O$5:O37,"Sığar"),"n.a.")</x:f>
        <x:v>n.a.</x:v>
      </x:c>
      <x:c r="S37" s="24" t="n">
        <x:f>IF(ISNUMBER(J37),J37-MAX(0,J37)*'Ayarlar'!$B$10,"n.a.")</x:f>
        <x:v>373.4999999999999</x:v>
      </x:c>
      <x:c r="T37" s="2" t="n">
        <x:f>IF('Ayarlar'!$B$7&lt;=0,0,MAX(0,'Ayarlar'!$B$6*52/12-MAX('Proje girdileri'!AC37,ROUNDUP('Proje girdileri'!AD37/'Ayarlar'!$B$7,0))))</x:f>
        <x:v>20</x:v>
      </x:c>
      <x:c r="U37" s="2" t="n">
        <x:f>IF(T37=0,0,IF('Proje girdileri'!C37="recurring",IF(MAX(0,'Ayarlar'!$B$6-IF('Ayarlar'!$B$7&lt;=0,99,ROUNDUP(MAX('Proje girdileri'!AC37,ROUNDUP('Proje girdileri'!AD37/'Ayarlar'!$B$7,0))/(52/12),0)))=0,0,(IF(AND(1&gt;IF('Ayarlar'!$B$7&lt;=0,99,ROUNDUP(MAX('Proje girdileri'!AC37,ROUNDUP('Proje girdileri'!AD37/'Ayarlar'!$B$7,0))/(52/12),0)),1&lt;='Ayarlar'!$B$6),IF('Proje girdileri'!AT37=0,MIN('Proje girdileri'!AH37,'Ayarlar'!$B$6-1+1),(1-POWER(1-'Proje girdileri'!AT37,MIN('Proje girdileri'!AH37,'Ayarlar'!$B$6-1+1)))/'Proje girdileri'!AT37),0)+IF(AND(2&gt;IF('Ayarlar'!$B$7&lt;=0,99,ROUNDUP(MAX('Proje girdileri'!AC37,ROUNDUP('Proje girdileri'!AD37/'Ayarlar'!$B$7,0))/(52/12),0)),2&lt;='Ayarlar'!$B$6),IF('Proje girdileri'!AT37=0,MIN('Proje girdileri'!AH37,'Ayarlar'!$B$6-2+1),(1-POWER(1-'Proje girdileri'!AT37,MIN('Proje girdileri'!AH37,'Ayarlar'!$B$6-2+1)))/'Proje girdileri'!AT37),0)+IF(AND(3&gt;IF('Ayarlar'!$B$7&lt;=0,99,ROUNDUP(MAX('Proje girdileri'!AC37,ROUNDUP('Proje girdileri'!AD37/'Ayarlar'!$B$7,0))/(52/12),0)),3&lt;='Ayarlar'!$B$6),IF('Proje girdileri'!AT37=0,MIN('Proje girdileri'!AH37,'Ayarlar'!$B$6-3+1),(1-POWER(1-'Proje girdileri'!AT37,MIN('Proje girdileri'!AH37,'Ayarlar'!$B$6-3+1)))/'Proje girdileri'!AT37),0)+IF(AND(4&gt;IF('Ayarlar'!$B$7&lt;=0,99,ROUNDUP(MAX('Proje girdileri'!AC37,ROUNDUP('Proje girdileri'!AD37/'Ayarlar'!$B$7,0))/(52/12),0)),4&lt;='Ayarlar'!$B$6),IF('Proje girdileri'!AT37=0,MIN('Proje girdileri'!AH37,'Ayarlar'!$B$6-4+1),(1-POWER(1-'Proje girdileri'!AT37,MIN('Proje girdileri'!AH37,'Ayarlar'!$B$6-4+1)))/'Proje girdileri'!AT37),0)+IF(AND(5&gt;IF('Ayarlar'!$B$7&lt;=0,99,ROUNDUP(MAX('Proje girdileri'!AC37,ROUNDUP('Proje girdileri'!AD37/'Ayarlar'!$B$7,0))/(52/12),0)),5&lt;='Ayarlar'!$B$6),IF('Proje girdileri'!AT37=0,MIN('Proje girdileri'!AH37,'Ayarlar'!$B$6-5+1),(1-POWER(1-'Proje girdileri'!AT37,MIN('Proje girdileri'!AH37,'Ayarlar'!$B$6-5+1)))/'Proje girdileri'!AT37),0)+IF(AND(6&gt;IF('Ayarlar'!$B$7&lt;=0,99,ROUNDUP(MAX('Proje girdileri'!AC37,ROUNDUP('Proje girdileri'!AD37/'Ayarlar'!$B$7,0))/(52/12),0)),6&lt;='Ayarlar'!$B$6),IF('Proje girdileri'!AT37=0,MIN('Proje girdileri'!AH37,'Ayarlar'!$B$6-6+1),(1-POWER(1-'Proje girdileri'!AT37,MIN('Proje girdileri'!AH37,'Ayarlar'!$B$6-6+1)))/'Proje girdileri'!AT37),0)+IF(AND(7&gt;IF('Ayarlar'!$B$7&lt;=0,99,ROUNDUP(MAX('Proje girdileri'!AC37,ROUNDUP('Proje girdileri'!AD37/'Ayarlar'!$B$7,0))/(52/12),0)),7&lt;='Ayarlar'!$B$6),IF('Proje girdileri'!AT37=0,MIN('Proje girdileri'!AH37,'Ayarlar'!$B$6-7+1),(1-POWER(1-'Proje girdileri'!AT37,MIN('Proje girdileri'!AH37,'Ayarlar'!$B$6-7+1)))/'Proje girdileri'!AT37),0)+IF(AND(8&gt;IF('Ayarlar'!$B$7&lt;=0,99,ROUNDUP(MAX('Proje girdileri'!AC37,ROUNDUP('Proje girdileri'!AD37/'Ayarlar'!$B$7,0))/(52/12),0)),8&lt;='Ayarlar'!$B$6),IF('Proje girdileri'!AT37=0,MIN('Proje girdileri'!AH37,'Ayarlar'!$B$6-8+1),(1-POWER(1-'Proje girdileri'!AT37,MIN('Proje girdileri'!AH37,'Ayarlar'!$B$6-8+1)))/'Proje girdileri'!AT37),0)+IF(AND(9&gt;IF('Ayarlar'!$B$7&lt;=0,99,ROUNDUP(MAX('Proje girdileri'!AC37,ROUNDUP('Proje girdileri'!AD37/'Ayarlar'!$B$7,0))/(52/12),0)),9&lt;='Ayarlar'!$B$6),IF('Proje girdileri'!AT37=0,MIN('Proje girdileri'!AH37,'Ayarlar'!$B$6-9+1),(1-POWER(1-'Proje girdileri'!AT37,MIN('Proje girdileri'!AH37,'Ayarlar'!$B$6-9+1)))/'Proje girdileri'!AT37),0)+IF(AND(10&gt;IF('Ayarlar'!$B$7&lt;=0,99,ROUNDUP(MAX('Proje girdileri'!AC37,ROUNDUP('Proje girdileri'!AD37/'Ayarlar'!$B$7,0))/(52/12),0)),10&lt;='Ayarlar'!$B$6),IF('Proje girdileri'!AT37=0,MIN('Proje girdileri'!AH37,'Ayarlar'!$B$6-10+1),(1-POWER(1-'Proje girdileri'!AT37,MIN('Proje girdileri'!AH37,'Ayarlar'!$B$6-10+1)))/'Proje girdileri'!AT37),0)+IF(AND(11&gt;IF('Ayarlar'!$B$7&lt;=0,99,ROUNDUP(MAX('Proje girdileri'!AC37,ROUNDUP('Proje girdileri'!AD37/'Ayarlar'!$B$7,0))/(52/12),0)),11&lt;='Ayarlar'!$B$6),IF('Proje girdileri'!AT37=0,MIN('Proje girdileri'!AH37,'Ayarlar'!$B$6-11+1),(1-POWER(1-'Proje girdileri'!AT37,MIN('Proje girdileri'!AH37,'Ayarlar'!$B$6-11+1)))/'Proje girdileri'!AT37),0)+IF(AND(12&gt;IF('Ayarlar'!$B$7&lt;=0,99,ROUNDUP(MAX('Proje girdileri'!AC37,ROUNDUP('Proje girdileri'!AD37/'Ayarlar'!$B$7,0))/(52/12),0)),12&lt;='Ayarlar'!$B$6),IF('Proje girdileri'!AT37=0,MIN('Proje girdileri'!AH37,'Ayarlar'!$B$6-12+1),(1-POWER(1-'Proje girdileri'!AT37,MIN('Proje girdileri'!AH37,'Ayarlar'!$B$6-12+1)))/'Proje girdileri'!AT37),0))/MAX(0,'Ayarlar'!$B$6-IF('Ayarlar'!$B$7&lt;=0,99,ROUNDUP(MAX('Proje girdileri'!AC37,ROUNDUP('Proje girdileri'!AD37/'Ayarlar'!$B$7,0))/(52/12),0)))),1))</x:f>
        <x:v>1</x:v>
      </x:c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 t="str">
        <x:f>'Proje girdileri'!A38</x:f>
        <x:v>Aile-34</x:v>
      </x:c>
      <x:c r="B38" s="2" t="str">
        <x:f>'Proje girdileri'!B38</x:f>
        <x:v>QRAL kaynak export</x:v>
      </x:c>
      <x:c r="C38" s="2" t="str">
        <x:f>IF(OR(COUNT('Proje girdileri'!D38:H38)&lt;&gt;5,MIN('Proje girdileri'!D38:H38)&lt;0,MAX('Proje girdileri'!D38:H38)&gt;2),"Yalnız deney",IF(MIN('Proje girdileri'!D38:H38)=0,"Kapsam/engel",IF(MIN('Proje girdileri'!D38:H38)=1,"Yalnız deney","Geçti")))</x:f>
        <x:v>Yalnız deney</x:v>
      </x:c>
      <x:c r="D38" s="23" t="n">
        <x:f>IF(AND(COUNT('Proje girdileri'!I38:X38)=16,MIN('Proje girdileri'!I38:X38)&gt;=0,MAX('Proje girdileri'!I38:X38)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girdileri'!I38:X38,'Proje girdileri'!$I$2:$X$2)/5*100,"n.a.")</x:f>
        <x:v>56.300000000000004</x:v>
      </x:c>
      <x:c r="E38" s="23" t="n">
        <x:f>IF(AND(COUNT('Proje girdileri'!I38:X38)=16,MIN('Proje girdileri'!I38:X38)&gt;=0,MAX('Proje girdileri'!I38:X38)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girdileri'!I38:X38,'Proje girdileri'!$I$3:$X$3)/5*100,"n.a.")</x:f>
        <x:v>56.300000000000004</x:v>
      </x:c>
      <x:c r="F38" s="2" t="n">
        <x:f>IF(OR(COUNT('Ayarlar'!$B$5:$B$9)&lt;&gt;5,MIN('Ayarlar'!$B$5:$B$7)&lt;=0,MIN('Ayarlar'!$B$8:$B$9)&lt;0,NOT(ISNUMBER(H38)),H38&lt;=0),"n.a.",ROUNDUP(('Ayarlar'!$B$5+'Proje girdileri'!AI38+'Ayarlar'!$B$6*'Proje girdileri'!AJ38)/H38,0))</x:f>
        <x:v>130</x:v>
      </x:c>
      <x:c r="G38" s="2" t="n">
        <x:f>IF(OR('Proje girdileri'!C38="internal",'Proje girdileri'!AE38+'Proje girdileri'!AF38+'Proje girdileri'!AG38*U38&lt;=0),0,MAX(0,ROUNDDOWN((MIN(T38*'Ayarlar'!$B$7,'Ayarlar'!$B$6*52/12*'Ayarlar'!$B$7-'Proje girdileri'!AD38)-T38*'Proje girdileri'!AK38)/('Proje girdileri'!AE38+'Proje girdileri'!AF38+'Proje girdileri'!AG38*U38),0)))</x:f>
        <x:v>186</x:v>
      </x:c>
      <x:c r="H38" s="24" t="n">
        <x:f>IF(COUNT('Proje girdileri'!Y38:AL38)&lt;&gt;14,"n.a.",('Proje girdileri'!Y38*(1-'Proje girdileri'!AA38-'Proje girdileri'!AB38)-'Proje girdileri'!Z38)*U38)</x:f>
        <x:v>24.099999999999998</x:v>
      </x:c>
      <x:c r="I38" s="24" t="n">
        <x:f>IF(ISNUMBER(H38),IF(H38&gt;0,MIN('Proje girdileri'!AL38,G38),0),"n.a.")</x:f>
        <x:v>15</x:v>
      </x:c>
      <x:c r="J38" s="24" t="n">
        <x:f>IF(ISNUMBER(H38),I38*H38-'Proje girdileri'!AI38-'Ayarlar'!$B$6*'Proje girdileri'!AJ38,"n.a.")</x:f>
        <x:v>238.49999999999994</x:v>
      </x:c>
      <x:c r="K38" s="23" t="n">
        <x:f>IF(ISNUMBER(I38),'Proje girdileri'!AD38+T38*'Proje girdileri'!AK38+I38*('Proje girdileri'!AE38+'Proje girdileri'!AF38+'Proje girdileri'!AG38*U38),"n.a.")</x:f>
        <x:v>52.75</x:v>
      </x:c>
      <x:c r="L38" s="23" t="n">
        <x:f>IF(ISNUMBER(J38),J38-K38*'Ayarlar'!$B$9,"n.a.")</x:f>
        <x:v>-1080.25</x:v>
      </x:c>
      <x:c r="M38" s="23" t="n">
        <x:f>IF(AND(ISNUMBER(K38),'Ayarlar'!$B$6&gt;0),K38/('Ayarlar'!$B$6*52/12),"n.a.")</x:f>
        <x:v>2.0288461538461537</x:v>
      </x:c>
      <x:c r="N38" s="2" t="str">
        <x:f>IF('Proje girdileri'!AI38&lt;='Ayarlar'!$B$8,"Sığar","Aşar")</x:f>
        <x:v>Sığar</x:v>
      </x:c>
      <x:c r="O38" s="2" t="str">
        <x:f>IF(ISNUMBER(F38),IF(F38&lt;=G38,"Sığar","Aşar"),"n.a.")</x:f>
        <x:v>Sığar</x:v>
      </x:c>
      <x:c r="P38" s="2" t="n">
        <x:f>IF(OR(C38="Kapsam/engel",NOT(ISNUMBER(D38))),"n.a.",COUNTIFS($D$5:$D$50,"&gt;"&amp;D38,$C$5:$C$50,"&lt;&gt;Kapsam/engel")+COUNTIFS($D$5:D38,D38,$C$5:C38,"&lt;&gt;Kapsam/engel"))</x:f>
        <x:v>1</x:v>
      </x:c>
      <x:c r="Q38" s="2" t="n">
        <x:f>IF(OR(C38="Kapsam/engel",NOT(ISNUMBER(E38))),"n.a.",COUNTIFS($E$5:$E$50,"&gt;"&amp;E38,$C$5:$C$50,"&lt;&gt;Kapsam/engel")+COUNTIFS($E$5:E38,E38,$C$5:C38,"&lt;&gt;Kapsam/engel"))</x:f>
        <x:v>1</x:v>
      </x:c>
      <x:c r="R38" s="2" t="str">
        <x:f>IF(AND(C38="Geçti",N38="Sığar",O38="Sığar"),COUNTIFS($D$5:$D$50,"&gt;"&amp;D38,$C$5:$C$50,"Geçti",$N$5:$N$50,"Sığar",$O$5:$O$50,"Sığar")+COUNTIFS($D$5:D38,D38,$C$5:C38,"Geçti",$N$5:N38,"Sığar",$O$5:O38,"Sığar"),"n.a.")</x:f>
        <x:v>n.a.</x:v>
      </x:c>
      <x:c r="S38" s="24" t="n">
        <x:f>IF(ISNUMBER(J38),J38-MAX(0,J38)*'Ayarlar'!$B$10,"n.a.")</x:f>
        <x:v>238.49999999999994</x:v>
      </x:c>
      <x:c r="T38" s="2" t="n">
        <x:f>IF('Ayarlar'!$B$7&lt;=0,0,MAX(0,'Ayarlar'!$B$6*52/12-MAX('Proje girdileri'!AC38,ROUNDUP('Proje girdileri'!AD38/'Ayarlar'!$B$7,0))))</x:f>
        <x:v>21</x:v>
      </x:c>
      <x:c r="U38" s="2" t="n">
        <x:f>IF(T38=0,0,IF('Proje girdileri'!C38="recurring",IF(MAX(0,'Ayarlar'!$B$6-IF('Ayarlar'!$B$7&lt;=0,99,ROUNDUP(MAX('Proje girdileri'!AC38,ROUNDUP('Proje girdileri'!AD38/'Ayarlar'!$B$7,0))/(52/12),0)))=0,0,(IF(AND(1&gt;IF('Ayarlar'!$B$7&lt;=0,99,ROUNDUP(MAX('Proje girdileri'!AC38,ROUNDUP('Proje girdileri'!AD38/'Ayarlar'!$B$7,0))/(52/12),0)),1&lt;='Ayarlar'!$B$6),IF('Proje girdileri'!AT38=0,MIN('Proje girdileri'!AH38,'Ayarlar'!$B$6-1+1),(1-POWER(1-'Proje girdileri'!AT38,MIN('Proje girdileri'!AH38,'Ayarlar'!$B$6-1+1)))/'Proje girdileri'!AT38),0)+IF(AND(2&gt;IF('Ayarlar'!$B$7&lt;=0,99,ROUNDUP(MAX('Proje girdileri'!AC38,ROUNDUP('Proje girdileri'!AD38/'Ayarlar'!$B$7,0))/(52/12),0)),2&lt;='Ayarlar'!$B$6),IF('Proje girdileri'!AT38=0,MIN('Proje girdileri'!AH38,'Ayarlar'!$B$6-2+1),(1-POWER(1-'Proje girdileri'!AT38,MIN('Proje girdileri'!AH38,'Ayarlar'!$B$6-2+1)))/'Proje girdileri'!AT38),0)+IF(AND(3&gt;IF('Ayarlar'!$B$7&lt;=0,99,ROUNDUP(MAX('Proje girdileri'!AC38,ROUNDUP('Proje girdileri'!AD38/'Ayarlar'!$B$7,0))/(52/12),0)),3&lt;='Ayarlar'!$B$6),IF('Proje girdileri'!AT38=0,MIN('Proje girdileri'!AH38,'Ayarlar'!$B$6-3+1),(1-POWER(1-'Proje girdileri'!AT38,MIN('Proje girdileri'!AH38,'Ayarlar'!$B$6-3+1)))/'Proje girdileri'!AT38),0)+IF(AND(4&gt;IF('Ayarlar'!$B$7&lt;=0,99,ROUNDUP(MAX('Proje girdileri'!AC38,ROUNDUP('Proje girdileri'!AD38/'Ayarlar'!$B$7,0))/(52/12),0)),4&lt;='Ayarlar'!$B$6),IF('Proje girdileri'!AT38=0,MIN('Proje girdileri'!AH38,'Ayarlar'!$B$6-4+1),(1-POWER(1-'Proje girdileri'!AT38,MIN('Proje girdileri'!AH38,'Ayarlar'!$B$6-4+1)))/'Proje girdileri'!AT38),0)+IF(AND(5&gt;IF('Ayarlar'!$B$7&lt;=0,99,ROUNDUP(MAX('Proje girdileri'!AC38,ROUNDUP('Proje girdileri'!AD38/'Ayarlar'!$B$7,0))/(52/12),0)),5&lt;='Ayarlar'!$B$6),IF('Proje girdileri'!AT38=0,MIN('Proje girdileri'!AH38,'Ayarlar'!$B$6-5+1),(1-POWER(1-'Proje girdileri'!AT38,MIN('Proje girdileri'!AH38,'Ayarlar'!$B$6-5+1)))/'Proje girdileri'!AT38),0)+IF(AND(6&gt;IF('Ayarlar'!$B$7&lt;=0,99,ROUNDUP(MAX('Proje girdileri'!AC38,ROUNDUP('Proje girdileri'!AD38/'Ayarlar'!$B$7,0))/(52/12),0)),6&lt;='Ayarlar'!$B$6),IF('Proje girdileri'!AT38=0,MIN('Proje girdileri'!AH38,'Ayarlar'!$B$6-6+1),(1-POWER(1-'Proje girdileri'!AT38,MIN('Proje girdileri'!AH38,'Ayarlar'!$B$6-6+1)))/'Proje girdileri'!AT38),0)+IF(AND(7&gt;IF('Ayarlar'!$B$7&lt;=0,99,ROUNDUP(MAX('Proje girdileri'!AC38,ROUNDUP('Proje girdileri'!AD38/'Ayarlar'!$B$7,0))/(52/12),0)),7&lt;='Ayarlar'!$B$6),IF('Proje girdileri'!AT38=0,MIN('Proje girdileri'!AH38,'Ayarlar'!$B$6-7+1),(1-POWER(1-'Proje girdileri'!AT38,MIN('Proje girdileri'!AH38,'Ayarlar'!$B$6-7+1)))/'Proje girdileri'!AT38),0)+IF(AND(8&gt;IF('Ayarlar'!$B$7&lt;=0,99,ROUNDUP(MAX('Proje girdileri'!AC38,ROUNDUP('Proje girdileri'!AD38/'Ayarlar'!$B$7,0))/(52/12),0)),8&lt;='Ayarlar'!$B$6),IF('Proje girdileri'!AT38=0,MIN('Proje girdileri'!AH38,'Ayarlar'!$B$6-8+1),(1-POWER(1-'Proje girdileri'!AT38,MIN('Proje girdileri'!AH38,'Ayarlar'!$B$6-8+1)))/'Proje girdileri'!AT38),0)+IF(AND(9&gt;IF('Ayarlar'!$B$7&lt;=0,99,ROUNDUP(MAX('Proje girdileri'!AC38,ROUNDUP('Proje girdileri'!AD38/'Ayarlar'!$B$7,0))/(52/12),0)),9&lt;='Ayarlar'!$B$6),IF('Proje girdileri'!AT38=0,MIN('Proje girdileri'!AH38,'Ayarlar'!$B$6-9+1),(1-POWER(1-'Proje girdileri'!AT38,MIN('Proje girdileri'!AH38,'Ayarlar'!$B$6-9+1)))/'Proje girdileri'!AT38),0)+IF(AND(10&gt;IF('Ayarlar'!$B$7&lt;=0,99,ROUNDUP(MAX('Proje girdileri'!AC38,ROUNDUP('Proje girdileri'!AD38/'Ayarlar'!$B$7,0))/(52/12),0)),10&lt;='Ayarlar'!$B$6),IF('Proje girdileri'!AT38=0,MIN('Proje girdileri'!AH38,'Ayarlar'!$B$6-10+1),(1-POWER(1-'Proje girdileri'!AT38,MIN('Proje girdileri'!AH38,'Ayarlar'!$B$6-10+1)))/'Proje girdileri'!AT38),0)+IF(AND(11&gt;IF('Ayarlar'!$B$7&lt;=0,99,ROUNDUP(MAX('Proje girdileri'!AC38,ROUNDUP('Proje girdileri'!AD38/'Ayarlar'!$B$7,0))/(52/12),0)),11&lt;='Ayarlar'!$B$6),IF('Proje girdileri'!AT38=0,MIN('Proje girdileri'!AH38,'Ayarlar'!$B$6-11+1),(1-POWER(1-'Proje girdileri'!AT38,MIN('Proje girdileri'!AH38,'Ayarlar'!$B$6-11+1)))/'Proje girdileri'!AT38),0)+IF(AND(12&gt;IF('Ayarlar'!$B$7&lt;=0,99,ROUNDUP(MAX('Proje girdileri'!AC38,ROUNDUP('Proje girdileri'!AD38/'Ayarlar'!$B$7,0))/(52/12),0)),12&lt;='Ayarlar'!$B$6),IF('Proje girdileri'!AT38=0,MIN('Proje girdileri'!AH38,'Ayarlar'!$B$6-12+1),(1-POWER(1-'Proje girdileri'!AT38,MIN('Proje girdileri'!AH38,'Ayarlar'!$B$6-12+1)))/'Proje girdileri'!AT38),0))/MAX(0,'Ayarlar'!$B$6-IF('Ayarlar'!$B$7&lt;=0,99,ROUNDUP(MAX('Proje girdileri'!AC38,ROUNDUP('Proje girdileri'!AD38/'Ayarlar'!$B$7,0))/(52/12),0)))),1))</x:f>
        <x:v>1</x:v>
      </x:c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 t="str">
        <x:f>'Proje girdileri'!A39</x:f>
        <x:v>Aile-35</x:v>
      </x:c>
      <x:c r="B39" s="2" t="str">
        <x:f>'Proje girdileri'!B39</x:f>
        <x:v>Signator takım teslimi</x:v>
      </x:c>
      <x:c r="C39" s="2" t="str">
        <x:f>IF(OR(COUNT('Proje girdileri'!D39:H39)&lt;&gt;5,MIN('Proje girdileri'!D39:H39)&lt;0,MAX('Proje girdileri'!D39:H39)&gt;2),"Yalnız deney",IF(MIN('Proje girdileri'!D39:H39)=0,"Kapsam/engel",IF(MIN('Proje girdileri'!D39:H39)=1,"Yalnız deney","Geçti")))</x:f>
        <x:v>Yalnız deney</x:v>
      </x:c>
      <x:c r="D39" s="23" t="n">
        <x:f>IF(AND(COUNT('Proje girdileri'!I39:X39)=16,MIN('Proje girdileri'!I39:X39)&gt;=0,MAX('Proje girdileri'!I39:X39)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girdileri'!I39:X39,'Proje girdileri'!$I$2:$X$2)/5*100,"n.a.")</x:f>
        <x:v>52.400000000000006</x:v>
      </x:c>
      <x:c r="E39" s="23" t="n">
        <x:f>IF(AND(COUNT('Proje girdileri'!I39:X39)=16,MIN('Proje girdileri'!I39:X39)&gt;=0,MAX('Proje girdileri'!I39:X39)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girdileri'!I39:X39,'Proje girdileri'!$I$3:$X$3)/5*100,"n.a.")</x:f>
        <x:v>51.1</x:v>
      </x:c>
      <x:c r="F39" s="2" t="n">
        <x:f>IF(OR(COUNT('Ayarlar'!$B$5:$B$9)&lt;&gt;5,MIN('Ayarlar'!$B$5:$B$7)&lt;=0,MIN('Ayarlar'!$B$8:$B$9)&lt;0,NOT(ISNUMBER(H39)),H39&lt;=0),"n.a.",ROUNDUP(('Ayarlar'!$B$5+'Proje girdileri'!AI39+'Ayarlar'!$B$6*'Proje girdileri'!AJ39)/H39,0))</x:f>
        <x:v>419</x:v>
      </x:c>
      <x:c r="G39" s="2" t="n">
        <x:f>IF(OR('Proje girdileri'!C39="internal",'Proje girdileri'!AE39+'Proje girdileri'!AF39+'Proje girdileri'!AG39*U39&lt;=0),0,MAX(0,ROUNDDOWN((MIN(T39*'Ayarlar'!$B$7,'Ayarlar'!$B$6*52/12*'Ayarlar'!$B$7-'Proje girdileri'!AD39)-T39*'Proje girdileri'!AK39)/('Proje girdileri'!AE39+'Proje girdileri'!AF39+'Proje girdileri'!AG39*U39),0)))</x:f>
        <x:v>62</x:v>
      </x:c>
      <x:c r="H39" s="24" t="n">
        <x:f>IF(COUNT('Proje girdileri'!Y39:AL39)&lt;&gt;14,"n.a.",('Proje girdileri'!Y39*(1-'Proje girdileri'!AA39-'Proje girdileri'!AB39)-'Proje girdileri'!Z39)*U39)</x:f>
        <x:v>7.549999999999997</x:v>
      </x:c>
      <x:c r="I39" s="24" t="n">
        <x:f>IF(ISNUMBER(H39),IF(H39&gt;0,MIN('Proje girdileri'!AL39,G39),0),"n.a.")</x:f>
        <x:v>8</x:v>
      </x:c>
      <x:c r="J39" s="24" t="n">
        <x:f>IF(ISNUMBER(H39),I39*H39-'Proje girdileri'!AI39-'Ayarlar'!$B$6*'Proje girdileri'!AJ39,"n.a.")</x:f>
        <x:v>-99.60000000000002</x:v>
      </x:c>
      <x:c r="K39" s="23" t="n">
        <x:f>IF(ISNUMBER(I39),'Proje girdileri'!AD39+T39*'Proje girdileri'!AK39+I39*('Proje girdileri'!AE39+'Proje girdileri'!AF39+'Proje girdileri'!AG39*U39),"n.a.")</x:f>
        <x:v>32.7</x:v>
      </x:c>
      <x:c r="L39" s="23" t="n">
        <x:f>IF(ISNUMBER(J39),J39-K39*'Ayarlar'!$B$9,"n.a.")</x:f>
        <x:v>-917.1000000000001</x:v>
      </x:c>
      <x:c r="M39" s="23" t="n">
        <x:f>IF(AND(ISNUMBER(K39),'Ayarlar'!$B$6&gt;0),K39/('Ayarlar'!$B$6*52/12),"n.a.")</x:f>
        <x:v>1.2576923076923079</x:v>
      </x:c>
      <x:c r="N39" s="2" t="str">
        <x:f>IF('Proje girdileri'!AI39&lt;='Ayarlar'!$B$8,"Sığar","Aşar")</x:f>
        <x:v>Sığar</x:v>
      </x:c>
      <x:c r="O39" s="2" t="str">
        <x:f>IF(ISNUMBER(F39),IF(F39&lt;=G39,"Sığar","Aşar"),"n.a.")</x:f>
        <x:v>Aşar</x:v>
      </x:c>
      <x:c r="P39" s="2" t="n">
        <x:f>IF(OR(C39="Kapsam/engel",NOT(ISNUMBER(D39))),"n.a.",COUNTIFS($D$5:$D$50,"&gt;"&amp;D39,$C$5:$C$50,"&lt;&gt;Kapsam/engel")+COUNTIFS($D$5:D39,D39,$C$5:C39,"&lt;&gt;Kapsam/engel"))</x:f>
        <x:v>8</x:v>
      </x:c>
      <x:c r="Q39" s="2" t="n">
        <x:f>IF(OR(C39="Kapsam/engel",NOT(ISNUMBER(E39))),"n.a.",COUNTIFS($E$5:$E$50,"&gt;"&amp;E39,$C$5:$C$50,"&lt;&gt;Kapsam/engel")+COUNTIFS($E$5:E39,E39,$C$5:C39,"&lt;&gt;Kapsam/engel"))</x:f>
        <x:v>8</x:v>
      </x:c>
      <x:c r="R39" s="2" t="str">
        <x:f>IF(AND(C39="Geçti",N39="Sığar",O39="Sığar"),COUNTIFS($D$5:$D$50,"&gt;"&amp;D39,$C$5:$C$50,"Geçti",$N$5:$N$50,"Sığar",$O$5:$O$50,"Sığar")+COUNTIFS($D$5:D39,D39,$C$5:C39,"Geçti",$N$5:N39,"Sığar",$O$5:O39,"Sığar"),"n.a.")</x:f>
        <x:v>n.a.</x:v>
      </x:c>
      <x:c r="S39" s="24" t="n">
        <x:f>IF(ISNUMBER(J39),J39-MAX(0,J39)*'Ayarlar'!$B$10,"n.a.")</x:f>
        <x:v>-99.60000000000002</x:v>
      </x:c>
      <x:c r="T39" s="2" t="n">
        <x:f>IF('Ayarlar'!$B$7&lt;=0,0,MAX(0,'Ayarlar'!$B$6*52/12-MAX('Proje girdileri'!AC39,ROUNDUP('Proje girdileri'!AD39/'Ayarlar'!$B$7,0))))</x:f>
        <x:v>23</x:v>
      </x:c>
      <x:c r="U39" s="2" t="n">
        <x:f>IF(T39=0,0,IF('Proje girdileri'!C39="recurring",IF(MAX(0,'Ayarlar'!$B$6-IF('Ayarlar'!$B$7&lt;=0,99,ROUNDUP(MAX('Proje girdileri'!AC39,ROUNDUP('Proje girdileri'!AD39/'Ayarlar'!$B$7,0))/(52/12),0)))=0,0,(IF(AND(1&gt;IF('Ayarlar'!$B$7&lt;=0,99,ROUNDUP(MAX('Proje girdileri'!AC39,ROUNDUP('Proje girdileri'!AD39/'Ayarlar'!$B$7,0))/(52/12),0)),1&lt;='Ayarlar'!$B$6),IF('Proje girdileri'!AT39=0,MIN('Proje girdileri'!AH39,'Ayarlar'!$B$6-1+1),(1-POWER(1-'Proje girdileri'!AT39,MIN('Proje girdileri'!AH39,'Ayarlar'!$B$6-1+1)))/'Proje girdileri'!AT39),0)+IF(AND(2&gt;IF('Ayarlar'!$B$7&lt;=0,99,ROUNDUP(MAX('Proje girdileri'!AC39,ROUNDUP('Proje girdileri'!AD39/'Ayarlar'!$B$7,0))/(52/12),0)),2&lt;='Ayarlar'!$B$6),IF('Proje girdileri'!AT39=0,MIN('Proje girdileri'!AH39,'Ayarlar'!$B$6-2+1),(1-POWER(1-'Proje girdileri'!AT39,MIN('Proje girdileri'!AH39,'Ayarlar'!$B$6-2+1)))/'Proje girdileri'!AT39),0)+IF(AND(3&gt;IF('Ayarlar'!$B$7&lt;=0,99,ROUNDUP(MAX('Proje girdileri'!AC39,ROUNDUP('Proje girdileri'!AD39/'Ayarlar'!$B$7,0))/(52/12),0)),3&lt;='Ayarlar'!$B$6),IF('Proje girdileri'!AT39=0,MIN('Proje girdileri'!AH39,'Ayarlar'!$B$6-3+1),(1-POWER(1-'Proje girdileri'!AT39,MIN('Proje girdileri'!AH39,'Ayarlar'!$B$6-3+1)))/'Proje girdileri'!AT39),0)+IF(AND(4&gt;IF('Ayarlar'!$B$7&lt;=0,99,ROUNDUP(MAX('Proje girdileri'!AC39,ROUNDUP('Proje girdileri'!AD39/'Ayarlar'!$B$7,0))/(52/12),0)),4&lt;='Ayarlar'!$B$6),IF('Proje girdileri'!AT39=0,MIN('Proje girdileri'!AH39,'Ayarlar'!$B$6-4+1),(1-POWER(1-'Proje girdileri'!AT39,MIN('Proje girdileri'!AH39,'Ayarlar'!$B$6-4+1)))/'Proje girdileri'!AT39),0)+IF(AND(5&gt;IF('Ayarlar'!$B$7&lt;=0,99,ROUNDUP(MAX('Proje girdileri'!AC39,ROUNDUP('Proje girdileri'!AD39/'Ayarlar'!$B$7,0))/(52/12),0)),5&lt;='Ayarlar'!$B$6),IF('Proje girdileri'!AT39=0,MIN('Proje girdileri'!AH39,'Ayarlar'!$B$6-5+1),(1-POWER(1-'Proje girdileri'!AT39,MIN('Proje girdileri'!AH39,'Ayarlar'!$B$6-5+1)))/'Proje girdileri'!AT39),0)+IF(AND(6&gt;IF('Ayarlar'!$B$7&lt;=0,99,ROUNDUP(MAX('Proje girdileri'!AC39,ROUNDUP('Proje girdileri'!AD39/'Ayarlar'!$B$7,0))/(52/12),0)),6&lt;='Ayarlar'!$B$6),IF('Proje girdileri'!AT39=0,MIN('Proje girdileri'!AH39,'Ayarlar'!$B$6-6+1),(1-POWER(1-'Proje girdileri'!AT39,MIN('Proje girdileri'!AH39,'Ayarlar'!$B$6-6+1)))/'Proje girdileri'!AT39),0)+IF(AND(7&gt;IF('Ayarlar'!$B$7&lt;=0,99,ROUNDUP(MAX('Proje girdileri'!AC39,ROUNDUP('Proje girdileri'!AD39/'Ayarlar'!$B$7,0))/(52/12),0)),7&lt;='Ayarlar'!$B$6),IF('Proje girdileri'!AT39=0,MIN('Proje girdileri'!AH39,'Ayarlar'!$B$6-7+1),(1-POWER(1-'Proje girdileri'!AT39,MIN('Proje girdileri'!AH39,'Ayarlar'!$B$6-7+1)))/'Proje girdileri'!AT39),0)+IF(AND(8&gt;IF('Ayarlar'!$B$7&lt;=0,99,ROUNDUP(MAX('Proje girdileri'!AC39,ROUNDUP('Proje girdileri'!AD39/'Ayarlar'!$B$7,0))/(52/12),0)),8&lt;='Ayarlar'!$B$6),IF('Proje girdileri'!AT39=0,MIN('Proje girdileri'!AH39,'Ayarlar'!$B$6-8+1),(1-POWER(1-'Proje girdileri'!AT39,MIN('Proje girdileri'!AH39,'Ayarlar'!$B$6-8+1)))/'Proje girdileri'!AT39),0)+IF(AND(9&gt;IF('Ayarlar'!$B$7&lt;=0,99,ROUNDUP(MAX('Proje girdileri'!AC39,ROUNDUP('Proje girdileri'!AD39/'Ayarlar'!$B$7,0))/(52/12),0)),9&lt;='Ayarlar'!$B$6),IF('Proje girdileri'!AT39=0,MIN('Proje girdileri'!AH39,'Ayarlar'!$B$6-9+1),(1-POWER(1-'Proje girdileri'!AT39,MIN('Proje girdileri'!AH39,'Ayarlar'!$B$6-9+1)))/'Proje girdileri'!AT39),0)+IF(AND(10&gt;IF('Ayarlar'!$B$7&lt;=0,99,ROUNDUP(MAX('Proje girdileri'!AC39,ROUNDUP('Proje girdileri'!AD39/'Ayarlar'!$B$7,0))/(52/12),0)),10&lt;='Ayarlar'!$B$6),IF('Proje girdileri'!AT39=0,MIN('Proje girdileri'!AH39,'Ayarlar'!$B$6-10+1),(1-POWER(1-'Proje girdileri'!AT39,MIN('Proje girdileri'!AH39,'Ayarlar'!$B$6-10+1)))/'Proje girdileri'!AT39),0)+IF(AND(11&gt;IF('Ayarlar'!$B$7&lt;=0,99,ROUNDUP(MAX('Proje girdileri'!AC39,ROUNDUP('Proje girdileri'!AD39/'Ayarlar'!$B$7,0))/(52/12),0)),11&lt;='Ayarlar'!$B$6),IF('Proje girdileri'!AT39=0,MIN('Proje girdileri'!AH39,'Ayarlar'!$B$6-11+1),(1-POWER(1-'Proje girdileri'!AT39,MIN('Proje girdileri'!AH39,'Ayarlar'!$B$6-11+1)))/'Proje girdileri'!AT39),0)+IF(AND(12&gt;IF('Ayarlar'!$B$7&lt;=0,99,ROUNDUP(MAX('Proje girdileri'!AC39,ROUNDUP('Proje girdileri'!AD39/'Ayarlar'!$B$7,0))/(52/12),0)),12&lt;='Ayarlar'!$B$6),IF('Proje girdileri'!AT39=0,MIN('Proje girdileri'!AH39,'Ayarlar'!$B$6-12+1),(1-POWER(1-'Proje girdileri'!AT39,MIN('Proje girdileri'!AH39,'Ayarlar'!$B$6-12+1)))/'Proje girdileri'!AT39),0))/MAX(0,'Ayarlar'!$B$6-IF('Ayarlar'!$B$7&lt;=0,99,ROUNDUP(MAX('Proje girdileri'!AC39,ROUNDUP('Proje girdileri'!AD39/'Ayarlar'!$B$7,0))/(52/12),0)))),1))</x:f>
        <x:v>1</x:v>
      </x:c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 t="str">
        <x:f>'Proje girdileri'!A40</x:f>
        <x:v>Aile-36</x:v>
      </x:c>
      <x:c r="B40" s="2" t="str">
        <x:f>'Proje girdileri'!B40</x:f>
        <x:v>Kanıtlı yazılım teslimi</x:v>
      </x:c>
      <x:c r="C40" s="2" t="str">
        <x:f>IF(OR(COUNT('Proje girdileri'!D40:H40)&lt;&gt;5,MIN('Proje girdileri'!D40:H40)&lt;0,MAX('Proje girdileri'!D40:H40)&gt;2),"Yalnız deney",IF(MIN('Proje girdileri'!D40:H40)=0,"Kapsam/engel",IF(MIN('Proje girdileri'!D40:H40)=1,"Yalnız deney","Geçti")))</x:f>
        <x:v>Yalnız deney</x:v>
      </x:c>
      <x:c r="D40" s="23" t="n">
        <x:f>IF(AND(COUNT('Proje girdileri'!I40:X40)=16,MIN('Proje girdileri'!I40:X40)&gt;=0,MAX('Proje girdileri'!I40:X40)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girdileri'!I40:X40,'Proje girdileri'!$I$2:$X$2)/5*100,"n.a.")</x:f>
        <x:v>45.4</x:v>
      </x:c>
      <x:c r="E40" s="23" t="n">
        <x:f>IF(AND(COUNT('Proje girdileri'!I40:X40)=16,MIN('Proje girdileri'!I40:X40)&gt;=0,MAX('Proje girdileri'!I40:X40)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girdileri'!I40:X40,'Proje girdileri'!$I$3:$X$3)/5*100,"n.a.")</x:f>
        <x:v>43.3</x:v>
      </x:c>
      <x:c r="F40" s="2" t="n">
        <x:f>IF(OR(COUNT('Ayarlar'!$B$5:$B$9)&lt;&gt;5,MIN('Ayarlar'!$B$5:$B$7)&lt;=0,MIN('Ayarlar'!$B$8:$B$9)&lt;0,NOT(ISNUMBER(H40)),H40&lt;=0),"n.a.",ROUNDUP(('Ayarlar'!$B$5+'Proje girdileri'!AI40+'Ayarlar'!$B$6*'Proje girdileri'!AJ40)/H40,0))</x:f>
        <x:v>2</x:v>
      </x:c>
      <x:c r="G40" s="2" t="n">
        <x:f>IF(OR('Proje girdileri'!C40="internal",'Proje girdileri'!AE40+'Proje girdileri'!AF40+'Proje girdileri'!AG40*U40&lt;=0),0,MAX(0,ROUNDDOWN((MIN(T40*'Ayarlar'!$B$7,'Ayarlar'!$B$6*52/12*'Ayarlar'!$B$7-'Proje girdileri'!AD40)-T40*'Proje girdileri'!AK40)/('Proje girdileri'!AE40+'Proje girdileri'!AF40+'Proje girdileri'!AG40*U40),0)))</x:f>
        <x:v>1</x:v>
      </x:c>
      <x:c r="H40" s="24" t="n">
        <x:f>IF(COUNT('Proje girdileri'!Y40:AL40)&lt;&gt;14,"n.a.",('Proje girdileri'!Y40*(1-'Proje girdileri'!AA40-'Proje girdileri'!AB40)-'Proje girdileri'!Z40)*U40)</x:f>
        <x:v>1780</x:v>
      </x:c>
      <x:c r="I40" s="24" t="n">
        <x:f>IF(ISNUMBER(H40),IF(H40&gt;0,MIN('Proje girdileri'!AL40,G40),0),"n.a.")</x:f>
        <x:v>1</x:v>
      </x:c>
      <x:c r="J40" s="24" t="n">
        <x:f>IF(ISNUMBER(H40),I40*H40-'Proje girdileri'!AI40-'Ayarlar'!$B$6*'Proje girdileri'!AJ40,"n.a.")</x:f>
        <x:v>1540</x:v>
      </x:c>
      <x:c r="K40" s="23" t="n">
        <x:f>IF(ISNUMBER(I40),'Proje girdileri'!AD40+T40*'Proje girdileri'!AK40+I40*('Proje girdileri'!AE40+'Proje girdileri'!AF40+'Proje girdileri'!AG40*U40),"n.a.")</x:f>
        <x:v>86.5</x:v>
      </x:c>
      <x:c r="L40" s="23" t="n">
        <x:f>IF(ISNUMBER(J40),J40-K40*'Ayarlar'!$B$9,"n.a.")</x:f>
        <x:v>-622.5</x:v>
      </x:c>
      <x:c r="M40" s="23" t="n">
        <x:f>IF(AND(ISNUMBER(K40),'Ayarlar'!$B$6&gt;0),K40/('Ayarlar'!$B$6*52/12),"n.a.")</x:f>
        <x:v>3.326923076923077</x:v>
      </x:c>
      <x:c r="N40" s="2" t="str">
        <x:f>IF('Proje girdileri'!AI40&lt;='Ayarlar'!$B$8,"Sığar","Aşar")</x:f>
        <x:v>Sığar</x:v>
      </x:c>
      <x:c r="O40" s="2" t="str">
        <x:f>IF(ISNUMBER(F40),IF(F40&lt;=G40,"Sığar","Aşar"),"n.a.")</x:f>
        <x:v>Aşar</x:v>
      </x:c>
      <x:c r="P40" s="2" t="n">
        <x:f>IF(OR(C40="Kapsam/engel",NOT(ISNUMBER(D40))),"n.a.",COUNTIFS($D$5:$D$50,"&gt;"&amp;D40,$C$5:$C$50,"&lt;&gt;Kapsam/engel")+COUNTIFS($D$5:D40,D40,$C$5:C40,"&lt;&gt;Kapsam/engel"))</x:f>
        <x:v>29</x:v>
      </x:c>
      <x:c r="Q40" s="2" t="n">
        <x:f>IF(OR(C40="Kapsam/engel",NOT(ISNUMBER(E40))),"n.a.",COUNTIFS($E$5:$E$50,"&gt;"&amp;E40,$C$5:$C$50,"&lt;&gt;Kapsam/engel")+COUNTIFS($E$5:E40,E40,$C$5:C40,"&lt;&gt;Kapsam/engel"))</x:f>
        <x:v>33</x:v>
      </x:c>
      <x:c r="R40" s="2" t="str">
        <x:f>IF(AND(C40="Geçti",N40="Sığar",O40="Sığar"),COUNTIFS($D$5:$D$50,"&gt;"&amp;D40,$C$5:$C$50,"Geçti",$N$5:$N$50,"Sığar",$O$5:$O$50,"Sığar")+COUNTIFS($D$5:D40,D40,$C$5:C40,"Geçti",$N$5:N40,"Sığar",$O$5:O40,"Sığar"),"n.a.")</x:f>
        <x:v>n.a.</x:v>
      </x:c>
      <x:c r="S40" s="24" t="n">
        <x:f>IF(ISNUMBER(J40),J40-MAX(0,J40)*'Ayarlar'!$B$10,"n.a.")</x:f>
        <x:v>1540</x:v>
      </x:c>
      <x:c r="T40" s="2" t="n">
        <x:f>IF('Ayarlar'!$B$7&lt;=0,0,MAX(0,'Ayarlar'!$B$6*52/12-MAX('Proje girdileri'!AC40,ROUNDUP('Proje girdileri'!AD40/'Ayarlar'!$B$7,0))))</x:f>
        <x:v>22</x:v>
      </x:c>
      <x:c r="U40" s="2" t="n">
        <x:f>IF(T40=0,0,IF('Proje girdileri'!C40="recurring",IF(MAX(0,'Ayarlar'!$B$6-IF('Ayarlar'!$B$7&lt;=0,99,ROUNDUP(MAX('Proje girdileri'!AC40,ROUNDUP('Proje girdileri'!AD40/'Ayarlar'!$B$7,0))/(52/12),0)))=0,0,(IF(AND(1&gt;IF('Ayarlar'!$B$7&lt;=0,99,ROUNDUP(MAX('Proje girdileri'!AC40,ROUNDUP('Proje girdileri'!AD40/'Ayarlar'!$B$7,0))/(52/12),0)),1&lt;='Ayarlar'!$B$6),IF('Proje girdileri'!AT40=0,MIN('Proje girdileri'!AH40,'Ayarlar'!$B$6-1+1),(1-POWER(1-'Proje girdileri'!AT40,MIN('Proje girdileri'!AH40,'Ayarlar'!$B$6-1+1)))/'Proje girdileri'!AT40),0)+IF(AND(2&gt;IF('Ayarlar'!$B$7&lt;=0,99,ROUNDUP(MAX('Proje girdileri'!AC40,ROUNDUP('Proje girdileri'!AD40/'Ayarlar'!$B$7,0))/(52/12),0)),2&lt;='Ayarlar'!$B$6),IF('Proje girdileri'!AT40=0,MIN('Proje girdileri'!AH40,'Ayarlar'!$B$6-2+1),(1-POWER(1-'Proje girdileri'!AT40,MIN('Proje girdileri'!AH40,'Ayarlar'!$B$6-2+1)))/'Proje girdileri'!AT40),0)+IF(AND(3&gt;IF('Ayarlar'!$B$7&lt;=0,99,ROUNDUP(MAX('Proje girdileri'!AC40,ROUNDUP('Proje girdileri'!AD40/'Ayarlar'!$B$7,0))/(52/12),0)),3&lt;='Ayarlar'!$B$6),IF('Proje girdileri'!AT40=0,MIN('Proje girdileri'!AH40,'Ayarlar'!$B$6-3+1),(1-POWER(1-'Proje girdileri'!AT40,MIN('Proje girdileri'!AH40,'Ayarlar'!$B$6-3+1)))/'Proje girdileri'!AT40),0)+IF(AND(4&gt;IF('Ayarlar'!$B$7&lt;=0,99,ROUNDUP(MAX('Proje girdileri'!AC40,ROUNDUP('Proje girdileri'!AD40/'Ayarlar'!$B$7,0))/(52/12),0)),4&lt;='Ayarlar'!$B$6),IF('Proje girdileri'!AT40=0,MIN('Proje girdileri'!AH40,'Ayarlar'!$B$6-4+1),(1-POWER(1-'Proje girdileri'!AT40,MIN('Proje girdileri'!AH40,'Ayarlar'!$B$6-4+1)))/'Proje girdileri'!AT40),0)+IF(AND(5&gt;IF('Ayarlar'!$B$7&lt;=0,99,ROUNDUP(MAX('Proje girdileri'!AC40,ROUNDUP('Proje girdileri'!AD40/'Ayarlar'!$B$7,0))/(52/12),0)),5&lt;='Ayarlar'!$B$6),IF('Proje girdileri'!AT40=0,MIN('Proje girdileri'!AH40,'Ayarlar'!$B$6-5+1),(1-POWER(1-'Proje girdileri'!AT40,MIN('Proje girdileri'!AH40,'Ayarlar'!$B$6-5+1)))/'Proje girdileri'!AT40),0)+IF(AND(6&gt;IF('Ayarlar'!$B$7&lt;=0,99,ROUNDUP(MAX('Proje girdileri'!AC40,ROUNDUP('Proje girdileri'!AD40/'Ayarlar'!$B$7,0))/(52/12),0)),6&lt;='Ayarlar'!$B$6),IF('Proje girdileri'!AT40=0,MIN('Proje girdileri'!AH40,'Ayarlar'!$B$6-6+1),(1-POWER(1-'Proje girdileri'!AT40,MIN('Proje girdileri'!AH40,'Ayarlar'!$B$6-6+1)))/'Proje girdileri'!AT40),0)+IF(AND(7&gt;IF('Ayarlar'!$B$7&lt;=0,99,ROUNDUP(MAX('Proje girdileri'!AC40,ROUNDUP('Proje girdileri'!AD40/'Ayarlar'!$B$7,0))/(52/12),0)),7&lt;='Ayarlar'!$B$6),IF('Proje girdileri'!AT40=0,MIN('Proje girdileri'!AH40,'Ayarlar'!$B$6-7+1),(1-POWER(1-'Proje girdileri'!AT40,MIN('Proje girdileri'!AH40,'Ayarlar'!$B$6-7+1)))/'Proje girdileri'!AT40),0)+IF(AND(8&gt;IF('Ayarlar'!$B$7&lt;=0,99,ROUNDUP(MAX('Proje girdileri'!AC40,ROUNDUP('Proje girdileri'!AD40/'Ayarlar'!$B$7,0))/(52/12),0)),8&lt;='Ayarlar'!$B$6),IF('Proje girdileri'!AT40=0,MIN('Proje girdileri'!AH40,'Ayarlar'!$B$6-8+1),(1-POWER(1-'Proje girdileri'!AT40,MIN('Proje girdileri'!AH40,'Ayarlar'!$B$6-8+1)))/'Proje girdileri'!AT40),0)+IF(AND(9&gt;IF('Ayarlar'!$B$7&lt;=0,99,ROUNDUP(MAX('Proje girdileri'!AC40,ROUNDUP('Proje girdileri'!AD40/'Ayarlar'!$B$7,0))/(52/12),0)),9&lt;='Ayarlar'!$B$6),IF('Proje girdileri'!AT40=0,MIN('Proje girdileri'!AH40,'Ayarlar'!$B$6-9+1),(1-POWER(1-'Proje girdileri'!AT40,MIN('Proje girdileri'!AH40,'Ayarlar'!$B$6-9+1)))/'Proje girdileri'!AT40),0)+IF(AND(10&gt;IF('Ayarlar'!$B$7&lt;=0,99,ROUNDUP(MAX('Proje girdileri'!AC40,ROUNDUP('Proje girdileri'!AD40/'Ayarlar'!$B$7,0))/(52/12),0)),10&lt;='Ayarlar'!$B$6),IF('Proje girdileri'!AT40=0,MIN('Proje girdileri'!AH40,'Ayarlar'!$B$6-10+1),(1-POWER(1-'Proje girdileri'!AT40,MIN('Proje girdileri'!AH40,'Ayarlar'!$B$6-10+1)))/'Proje girdileri'!AT40),0)+IF(AND(11&gt;IF('Ayarlar'!$B$7&lt;=0,99,ROUNDUP(MAX('Proje girdileri'!AC40,ROUNDUP('Proje girdileri'!AD40/'Ayarlar'!$B$7,0))/(52/12),0)),11&lt;='Ayarlar'!$B$6),IF('Proje girdileri'!AT40=0,MIN('Proje girdileri'!AH40,'Ayarlar'!$B$6-11+1),(1-POWER(1-'Proje girdileri'!AT40,MIN('Proje girdileri'!AH40,'Ayarlar'!$B$6-11+1)))/'Proje girdileri'!AT40),0)+IF(AND(12&gt;IF('Ayarlar'!$B$7&lt;=0,99,ROUNDUP(MAX('Proje girdileri'!AC40,ROUNDUP('Proje girdileri'!AD40/'Ayarlar'!$B$7,0))/(52/12),0)),12&lt;='Ayarlar'!$B$6),IF('Proje girdileri'!AT40=0,MIN('Proje girdileri'!AH40,'Ayarlar'!$B$6-12+1),(1-POWER(1-'Proje girdileri'!AT40,MIN('Proje girdileri'!AH40,'Ayarlar'!$B$6-12+1)))/'Proje girdileri'!AT40),0))/MAX(0,'Ayarlar'!$B$6-IF('Ayarlar'!$B$7&lt;=0,99,ROUNDUP(MAX('Proje girdileri'!AC40,ROUNDUP('Proje girdileri'!AD40/'Ayarlar'!$B$7,0))/(52/12),0)))),1))</x:f>
        <x:v>1</x:v>
      </x:c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 t="str">
        <x:f>'Proje girdileri'!A41</x:f>
        <x:v>Aile-37</x:v>
      </x:c>
      <x:c r="B41" s="2" t="str">
        <x:f>'Proje girdileri'!B41</x:f>
        <x:v>Kurucu model/sunum</x:v>
      </x:c>
      <x:c r="C41" s="2" t="str">
        <x:f>IF(OR(COUNT('Proje girdileri'!D41:H41)&lt;&gt;5,MIN('Proje girdileri'!D41:H41)&lt;0,MAX('Proje girdileri'!D41:H41)&gt;2),"Yalnız deney",IF(MIN('Proje girdileri'!D41:H41)=0,"Kapsam/engel",IF(MIN('Proje girdileri'!D41:H41)=1,"Yalnız deney","Geçti")))</x:f>
        <x:v>Yalnız deney</x:v>
      </x:c>
      <x:c r="D41" s="23" t="n">
        <x:f>IF(AND(COUNT('Proje girdileri'!I41:X41)=16,MIN('Proje girdileri'!I41:X41)&gt;=0,MAX('Proje girdileri'!I41:X41)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girdileri'!I41:X41,'Proje girdileri'!$I$2:$X$2)/5*100,"n.a.")</x:f>
        <x:v>52.400000000000006</x:v>
      </x:c>
      <x:c r="E41" s="23" t="n">
        <x:f>IF(AND(COUNT('Proje girdileri'!I41:X41)=16,MIN('Proje girdileri'!I41:X41)&gt;=0,MAX('Proje girdileri'!I41:X41)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girdileri'!I41:X41,'Proje girdileri'!$I$3:$X$3)/5*100,"n.a.")</x:f>
        <x:v>51.1</x:v>
      </x:c>
      <x:c r="F41" s="2" t="n">
        <x:f>IF(OR(COUNT('Ayarlar'!$B$5:$B$9)&lt;&gt;5,MIN('Ayarlar'!$B$5:$B$7)&lt;=0,MIN('Ayarlar'!$B$8:$B$9)&lt;0,NOT(ISNUMBER(H41)),H41&lt;=0),"n.a.",ROUNDUP(('Ayarlar'!$B$5+'Proje girdileri'!AI41+'Ayarlar'!$B$6*'Proje girdileri'!AJ41)/H41,0))</x:f>
        <x:v>5</x:v>
      </x:c>
      <x:c r="G41" s="2" t="n">
        <x:f>IF(OR('Proje girdileri'!C41="internal",'Proje girdileri'!AE41+'Proje girdileri'!AF41+'Proje girdileri'!AG41*U41&lt;=0),0,MAX(0,ROUNDDOWN((MIN(T41*'Ayarlar'!$B$7,'Ayarlar'!$B$6*52/12*'Ayarlar'!$B$7-'Proje girdileri'!AD41)-T41*'Proje girdileri'!AK41)/('Proje girdileri'!AE41+'Proje girdileri'!AF41+'Proje girdileri'!AG41*U41),0)))</x:f>
        <x:v>5</x:v>
      </x:c>
      <x:c r="H41" s="24" t="n">
        <x:f>IF(COUNT('Proje girdileri'!Y41:AL41)&lt;&gt;14,"n.a.",('Proje girdileri'!Y41*(1-'Proje girdileri'!AA41-'Proje girdileri'!AB41)-'Proje girdileri'!Z41)*U41)</x:f>
        <x:v>746</x:v>
      </x:c>
      <x:c r="I41" s="24" t="n">
        <x:f>IF(ISNUMBER(H41),IF(H41&gt;0,MIN('Proje girdileri'!AL41,G41),0),"n.a.")</x:f>
        <x:v>3</x:v>
      </x:c>
      <x:c r="J41" s="24" t="n">
        <x:f>IF(ISNUMBER(H41),I41*H41-'Proje girdileri'!AI41-'Ayarlar'!$B$6*'Proje girdileri'!AJ41,"n.a.")</x:f>
        <x:v>1998</x:v>
      </x:c>
      <x:c r="K41" s="23" t="n">
        <x:f>IF(ISNUMBER(I41),'Proje girdileri'!AD41+T41*'Proje girdileri'!AK41+I41*('Proje girdileri'!AE41+'Proje girdileri'!AF41+'Proje girdileri'!AG41*U41),"n.a.")</x:f>
        <x:v>83.5</x:v>
      </x:c>
      <x:c r="L41" s="23" t="n">
        <x:f>IF(ISNUMBER(J41),J41-K41*'Ayarlar'!$B$9,"n.a.")</x:f>
        <x:v>-89.5</x:v>
      </x:c>
      <x:c r="M41" s="23" t="n">
        <x:f>IF(AND(ISNUMBER(K41),'Ayarlar'!$B$6&gt;0),K41/('Ayarlar'!$B$6*52/12),"n.a.")</x:f>
        <x:v>3.2115384615384617</x:v>
      </x:c>
      <x:c r="N41" s="2" t="str">
        <x:f>IF('Proje girdileri'!AI41&lt;='Ayarlar'!$B$8,"Sığar","Aşar")</x:f>
        <x:v>Sığar</x:v>
      </x:c>
      <x:c r="O41" s="2" t="str">
        <x:f>IF(ISNUMBER(F41),IF(F41&lt;=G41,"Sığar","Aşar"),"n.a.")</x:f>
        <x:v>Sığar</x:v>
      </x:c>
      <x:c r="P41" s="2" t="n">
        <x:f>IF(OR(C41="Kapsam/engel",NOT(ISNUMBER(D41))),"n.a.",COUNTIFS($D$5:$D$50,"&gt;"&amp;D41,$C$5:$C$50,"&lt;&gt;Kapsam/engel")+COUNTIFS($D$5:D41,D41,$C$5:C41,"&lt;&gt;Kapsam/engel"))</x:f>
        <x:v>9</x:v>
      </x:c>
      <x:c r="Q41" s="2" t="n">
        <x:f>IF(OR(C41="Kapsam/engel",NOT(ISNUMBER(E41))),"n.a.",COUNTIFS($E$5:$E$50,"&gt;"&amp;E41,$C$5:$C$50,"&lt;&gt;Kapsam/engel")+COUNTIFS($E$5:E41,E41,$C$5:C41,"&lt;&gt;Kapsam/engel"))</x:f>
        <x:v>9</x:v>
      </x:c>
      <x:c r="R41" s="2" t="str">
        <x:f>IF(AND(C41="Geçti",N41="Sığar",O41="Sığar"),COUNTIFS($D$5:$D$50,"&gt;"&amp;D41,$C$5:$C$50,"Geçti",$N$5:$N$50,"Sığar",$O$5:$O$50,"Sığar")+COUNTIFS($D$5:D41,D41,$C$5:C41,"Geçti",$N$5:N41,"Sığar",$O$5:O41,"Sığar"),"n.a.")</x:f>
        <x:v>n.a.</x:v>
      </x:c>
      <x:c r="S41" s="24" t="n">
        <x:f>IF(ISNUMBER(J41),J41-MAX(0,J41)*'Ayarlar'!$B$10,"n.a.")</x:f>
        <x:v>1998</x:v>
      </x:c>
      <x:c r="T41" s="2" t="n">
        <x:f>IF('Ayarlar'!$B$7&lt;=0,0,MAX(0,'Ayarlar'!$B$6*52/12-MAX('Proje girdileri'!AC41,ROUNDUP('Proje girdileri'!AD41/'Ayarlar'!$B$7,0))))</x:f>
        <x:v>22</x:v>
      </x:c>
      <x:c r="U41" s="2" t="n">
        <x:f>IF(T41=0,0,IF('Proje girdileri'!C41="recurring",IF(MAX(0,'Ayarlar'!$B$6-IF('Ayarlar'!$B$7&lt;=0,99,ROUNDUP(MAX('Proje girdileri'!AC41,ROUNDUP('Proje girdileri'!AD41/'Ayarlar'!$B$7,0))/(52/12),0)))=0,0,(IF(AND(1&gt;IF('Ayarlar'!$B$7&lt;=0,99,ROUNDUP(MAX('Proje girdileri'!AC41,ROUNDUP('Proje girdileri'!AD41/'Ayarlar'!$B$7,0))/(52/12),0)),1&lt;='Ayarlar'!$B$6),IF('Proje girdileri'!AT41=0,MIN('Proje girdileri'!AH41,'Ayarlar'!$B$6-1+1),(1-POWER(1-'Proje girdileri'!AT41,MIN('Proje girdileri'!AH41,'Ayarlar'!$B$6-1+1)))/'Proje girdileri'!AT41),0)+IF(AND(2&gt;IF('Ayarlar'!$B$7&lt;=0,99,ROUNDUP(MAX('Proje girdileri'!AC41,ROUNDUP('Proje girdileri'!AD41/'Ayarlar'!$B$7,0))/(52/12),0)),2&lt;='Ayarlar'!$B$6),IF('Proje girdileri'!AT41=0,MIN('Proje girdileri'!AH41,'Ayarlar'!$B$6-2+1),(1-POWER(1-'Proje girdileri'!AT41,MIN('Proje girdileri'!AH41,'Ayarlar'!$B$6-2+1)))/'Proje girdileri'!AT41),0)+IF(AND(3&gt;IF('Ayarlar'!$B$7&lt;=0,99,ROUNDUP(MAX('Proje girdileri'!AC41,ROUNDUP('Proje girdileri'!AD41/'Ayarlar'!$B$7,0))/(52/12),0)),3&lt;='Ayarlar'!$B$6),IF('Proje girdileri'!AT41=0,MIN('Proje girdileri'!AH41,'Ayarlar'!$B$6-3+1),(1-POWER(1-'Proje girdileri'!AT41,MIN('Proje girdileri'!AH41,'Ayarlar'!$B$6-3+1)))/'Proje girdileri'!AT41),0)+IF(AND(4&gt;IF('Ayarlar'!$B$7&lt;=0,99,ROUNDUP(MAX('Proje girdileri'!AC41,ROUNDUP('Proje girdileri'!AD41/'Ayarlar'!$B$7,0))/(52/12),0)),4&lt;='Ayarlar'!$B$6),IF('Proje girdileri'!AT41=0,MIN('Proje girdileri'!AH41,'Ayarlar'!$B$6-4+1),(1-POWER(1-'Proje girdileri'!AT41,MIN('Proje girdileri'!AH41,'Ayarlar'!$B$6-4+1)))/'Proje girdileri'!AT41),0)+IF(AND(5&gt;IF('Ayarlar'!$B$7&lt;=0,99,ROUNDUP(MAX('Proje girdileri'!AC41,ROUNDUP('Proje girdileri'!AD41/'Ayarlar'!$B$7,0))/(52/12),0)),5&lt;='Ayarlar'!$B$6),IF('Proje girdileri'!AT41=0,MIN('Proje girdileri'!AH41,'Ayarlar'!$B$6-5+1),(1-POWER(1-'Proje girdileri'!AT41,MIN('Proje girdileri'!AH41,'Ayarlar'!$B$6-5+1)))/'Proje girdileri'!AT41),0)+IF(AND(6&gt;IF('Ayarlar'!$B$7&lt;=0,99,ROUNDUP(MAX('Proje girdileri'!AC41,ROUNDUP('Proje girdileri'!AD41/'Ayarlar'!$B$7,0))/(52/12),0)),6&lt;='Ayarlar'!$B$6),IF('Proje girdileri'!AT41=0,MIN('Proje girdileri'!AH41,'Ayarlar'!$B$6-6+1),(1-POWER(1-'Proje girdileri'!AT41,MIN('Proje girdileri'!AH41,'Ayarlar'!$B$6-6+1)))/'Proje girdileri'!AT41),0)+IF(AND(7&gt;IF('Ayarlar'!$B$7&lt;=0,99,ROUNDUP(MAX('Proje girdileri'!AC41,ROUNDUP('Proje girdileri'!AD41/'Ayarlar'!$B$7,0))/(52/12),0)),7&lt;='Ayarlar'!$B$6),IF('Proje girdileri'!AT41=0,MIN('Proje girdileri'!AH41,'Ayarlar'!$B$6-7+1),(1-POWER(1-'Proje girdileri'!AT41,MIN('Proje girdileri'!AH41,'Ayarlar'!$B$6-7+1)))/'Proje girdileri'!AT41),0)+IF(AND(8&gt;IF('Ayarlar'!$B$7&lt;=0,99,ROUNDUP(MAX('Proje girdileri'!AC41,ROUNDUP('Proje girdileri'!AD41/'Ayarlar'!$B$7,0))/(52/12),0)),8&lt;='Ayarlar'!$B$6),IF('Proje girdileri'!AT41=0,MIN('Proje girdileri'!AH41,'Ayarlar'!$B$6-8+1),(1-POWER(1-'Proje girdileri'!AT41,MIN('Proje girdileri'!AH41,'Ayarlar'!$B$6-8+1)))/'Proje girdileri'!AT41),0)+IF(AND(9&gt;IF('Ayarlar'!$B$7&lt;=0,99,ROUNDUP(MAX('Proje girdileri'!AC41,ROUNDUP('Proje girdileri'!AD41/'Ayarlar'!$B$7,0))/(52/12),0)),9&lt;='Ayarlar'!$B$6),IF('Proje girdileri'!AT41=0,MIN('Proje girdileri'!AH41,'Ayarlar'!$B$6-9+1),(1-POWER(1-'Proje girdileri'!AT41,MIN('Proje girdileri'!AH41,'Ayarlar'!$B$6-9+1)))/'Proje girdileri'!AT41),0)+IF(AND(10&gt;IF('Ayarlar'!$B$7&lt;=0,99,ROUNDUP(MAX('Proje girdileri'!AC41,ROUNDUP('Proje girdileri'!AD41/'Ayarlar'!$B$7,0))/(52/12),0)),10&lt;='Ayarlar'!$B$6),IF('Proje girdileri'!AT41=0,MIN('Proje girdileri'!AH41,'Ayarlar'!$B$6-10+1),(1-POWER(1-'Proje girdileri'!AT41,MIN('Proje girdileri'!AH41,'Ayarlar'!$B$6-10+1)))/'Proje girdileri'!AT41),0)+IF(AND(11&gt;IF('Ayarlar'!$B$7&lt;=0,99,ROUNDUP(MAX('Proje girdileri'!AC41,ROUNDUP('Proje girdileri'!AD41/'Ayarlar'!$B$7,0))/(52/12),0)),11&lt;='Ayarlar'!$B$6),IF('Proje girdileri'!AT41=0,MIN('Proje girdileri'!AH41,'Ayarlar'!$B$6-11+1),(1-POWER(1-'Proje girdileri'!AT41,MIN('Proje girdileri'!AH41,'Ayarlar'!$B$6-11+1)))/'Proje girdileri'!AT41),0)+IF(AND(12&gt;IF('Ayarlar'!$B$7&lt;=0,99,ROUNDUP(MAX('Proje girdileri'!AC41,ROUNDUP('Proje girdileri'!AD41/'Ayarlar'!$B$7,0))/(52/12),0)),12&lt;='Ayarlar'!$B$6),IF('Proje girdileri'!AT41=0,MIN('Proje girdileri'!AH41,'Ayarlar'!$B$6-12+1),(1-POWER(1-'Proje girdileri'!AT41,MIN('Proje girdileri'!AH41,'Ayarlar'!$B$6-12+1)))/'Proje girdileri'!AT41),0))/MAX(0,'Ayarlar'!$B$6-IF('Ayarlar'!$B$7&lt;=0,99,ROUNDUP(MAX('Proje girdileri'!AC41,ROUNDUP('Proje girdileri'!AD41/'Ayarlar'!$B$7,0))/(52/12),0)))),1))</x:f>
        <x:v>1</x:v>
      </x:c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 t="str">
        <x:f>'Proje girdileri'!A42</x:f>
        <x:v>Aile-38</x:v>
      </x:c>
      <x:c r="B42" s="2" t="str">
        <x:f>'Proje girdileri'!B42</x:f>
        <x:v>Strateji seçenek karşılaştırma</x:v>
      </x:c>
      <x:c r="C42" s="2" t="str">
        <x:f>IF(OR(COUNT('Proje girdileri'!D42:H42)&lt;&gt;5,MIN('Proje girdileri'!D42:H42)&lt;0,MAX('Proje girdileri'!D42:H42)&gt;2),"Yalnız deney",IF(MIN('Proje girdileri'!D42:H42)=0,"Kapsam/engel",IF(MIN('Proje girdileri'!D42:H42)=1,"Yalnız deney","Geçti")))</x:f>
        <x:v>Yalnız deney</x:v>
      </x:c>
      <x:c r="D42" s="23" t="n">
        <x:f>IF(AND(COUNT('Proje girdileri'!I42:X42)=16,MIN('Proje girdileri'!I42:X42)&gt;=0,MAX('Proje girdileri'!I42:X42)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girdileri'!I42:X42,'Proje girdileri'!$I$2:$X$2)/5*100,"n.a.")</x:f>
        <x:v>53</x:v>
      </x:c>
      <x:c r="E42" s="23" t="n">
        <x:f>IF(AND(COUNT('Proje girdileri'!I42:X42)=16,MIN('Proje girdileri'!I42:X42)&gt;=0,MAX('Proje girdileri'!I42:X42)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girdileri'!I42:X42,'Proje girdileri'!$I$3:$X$3)/5*100,"n.a.")</x:f>
        <x:v>52.000000000000014</x:v>
      </x:c>
      <x:c r="F42" s="2" t="n">
        <x:f>IF(OR(COUNT('Ayarlar'!$B$5:$B$9)&lt;&gt;5,MIN('Ayarlar'!$B$5:$B$7)&lt;=0,MIN('Ayarlar'!$B$8:$B$9)&lt;0,NOT(ISNUMBER(H42)),H42&lt;=0),"n.a.",ROUNDUP(('Ayarlar'!$B$5+'Proje girdileri'!AI42+'Ayarlar'!$B$6*'Proje girdileri'!AJ42)/H42,0))</x:f>
        <x:v>62</x:v>
      </x:c>
      <x:c r="G42" s="2" t="n">
        <x:f>IF(OR('Proje girdileri'!C42="internal",'Proje girdileri'!AE42+'Proje girdileri'!AF42+'Proje girdileri'!AG42*U42&lt;=0),0,MAX(0,ROUNDDOWN((MIN(T42*'Ayarlar'!$B$7,'Ayarlar'!$B$6*52/12*'Ayarlar'!$B$7-'Proje girdileri'!AD42)-T42*'Proje girdileri'!AK42)/('Proje girdileri'!AE42+'Proje girdileri'!AF42+'Proje girdileri'!AG42*U42),0)))</x:f>
        <x:v>117</x:v>
      </x:c>
      <x:c r="H42" s="24" t="n">
        <x:f>IF(COUNT('Proje girdileri'!Y42:AL42)&lt;&gt;14,"n.a.",('Proje girdileri'!Y42*(1-'Proje girdileri'!AA42-'Proje girdileri'!AB42)-'Proje girdileri'!Z42)*U42)</x:f>
        <x:v>51.099999999999994</x:v>
      </x:c>
      <x:c r="I42" s="24" t="n">
        <x:f>IF(ISNUMBER(H42),IF(H42&gt;0,MIN('Proje girdileri'!AL42,G42),0),"n.a.")</x:f>
        <x:v>15</x:v>
      </x:c>
      <x:c r="J42" s="24" t="n">
        <x:f>IF(ISNUMBER(H42),I42*H42-'Proje girdileri'!AI42-'Ayarlar'!$B$6*'Proje girdileri'!AJ42,"n.a.")</x:f>
        <x:v>643.4999999999999</x:v>
      </x:c>
      <x:c r="K42" s="23" t="n">
        <x:f>IF(ISNUMBER(I42),'Proje girdileri'!AD42+T42*'Proje girdileri'!AK42+I42*('Proje girdileri'!AE42+'Proje girdileri'!AF42+'Proje girdileri'!AG42*U42),"n.a.")</x:f>
        <x:v>53.25</x:v>
      </x:c>
      <x:c r="L42" s="23" t="n">
        <x:f>IF(ISNUMBER(J42),J42-K42*'Ayarlar'!$B$9,"n.a.")</x:f>
        <x:v>-687.7500000000001</x:v>
      </x:c>
      <x:c r="M42" s="23" t="n">
        <x:f>IF(AND(ISNUMBER(K42),'Ayarlar'!$B$6&gt;0),K42/('Ayarlar'!$B$6*52/12),"n.a.")</x:f>
        <x:v>2.048076923076923</x:v>
      </x:c>
      <x:c r="N42" s="2" t="str">
        <x:f>IF('Proje girdileri'!AI42&lt;='Ayarlar'!$B$8,"Sığar","Aşar")</x:f>
        <x:v>Sığar</x:v>
      </x:c>
      <x:c r="O42" s="2" t="str">
        <x:f>IF(ISNUMBER(F42),IF(F42&lt;=G42,"Sığar","Aşar"),"n.a.")</x:f>
        <x:v>Sığar</x:v>
      </x:c>
      <x:c r="P42" s="2" t="n">
        <x:f>IF(OR(C42="Kapsam/engel",NOT(ISNUMBER(D42))),"n.a.",COUNTIFS($D$5:$D$50,"&gt;"&amp;D42,$C$5:$C$50,"&lt;&gt;Kapsam/engel")+COUNTIFS($D$5:D42,D42,$C$5:C42,"&lt;&gt;Kapsam/engel"))</x:f>
        <x:v>4</x:v>
      </x:c>
      <x:c r="Q42" s="2" t="n">
        <x:f>IF(OR(C42="Kapsam/engel",NOT(ISNUMBER(E42))),"n.a.",COUNTIFS($E$5:$E$50,"&gt;"&amp;E42,$C$5:$C$50,"&lt;&gt;Kapsam/engel")+COUNTIFS($E$5:E42,E42,$C$5:C42,"&lt;&gt;Kapsam/engel"))</x:f>
        <x:v>5</x:v>
      </x:c>
      <x:c r="R42" s="2" t="str">
        <x:f>IF(AND(C42="Geçti",N42="Sığar",O42="Sığar"),COUNTIFS($D$5:$D$50,"&gt;"&amp;D42,$C$5:$C$50,"Geçti",$N$5:$N$50,"Sığar",$O$5:$O$50,"Sığar")+COUNTIFS($D$5:D42,D42,$C$5:C42,"Geçti",$N$5:N42,"Sığar",$O$5:O42,"Sığar"),"n.a.")</x:f>
        <x:v>n.a.</x:v>
      </x:c>
      <x:c r="S42" s="24" t="n">
        <x:f>IF(ISNUMBER(J42),J42-MAX(0,J42)*'Ayarlar'!$B$10,"n.a.")</x:f>
        <x:v>643.4999999999999</x:v>
      </x:c>
      <x:c r="T42" s="2" t="n">
        <x:f>IF('Ayarlar'!$B$7&lt;=0,0,MAX(0,'Ayarlar'!$B$6*52/12-MAX('Proje girdileri'!AC42,ROUNDUP('Proje girdileri'!AD42/'Ayarlar'!$B$7,0))))</x:f>
        <x:v>22</x:v>
      </x:c>
      <x:c r="U42" s="2" t="n">
        <x:f>IF(T42=0,0,IF('Proje girdileri'!C42="recurring",IF(MAX(0,'Ayarlar'!$B$6-IF('Ayarlar'!$B$7&lt;=0,99,ROUNDUP(MAX('Proje girdileri'!AC42,ROUNDUP('Proje girdileri'!AD42/'Ayarlar'!$B$7,0))/(52/12),0)))=0,0,(IF(AND(1&gt;IF('Ayarlar'!$B$7&lt;=0,99,ROUNDUP(MAX('Proje girdileri'!AC42,ROUNDUP('Proje girdileri'!AD42/'Ayarlar'!$B$7,0))/(52/12),0)),1&lt;='Ayarlar'!$B$6),IF('Proje girdileri'!AT42=0,MIN('Proje girdileri'!AH42,'Ayarlar'!$B$6-1+1),(1-POWER(1-'Proje girdileri'!AT42,MIN('Proje girdileri'!AH42,'Ayarlar'!$B$6-1+1)))/'Proje girdileri'!AT42),0)+IF(AND(2&gt;IF('Ayarlar'!$B$7&lt;=0,99,ROUNDUP(MAX('Proje girdileri'!AC42,ROUNDUP('Proje girdileri'!AD42/'Ayarlar'!$B$7,0))/(52/12),0)),2&lt;='Ayarlar'!$B$6),IF('Proje girdileri'!AT42=0,MIN('Proje girdileri'!AH42,'Ayarlar'!$B$6-2+1),(1-POWER(1-'Proje girdileri'!AT42,MIN('Proje girdileri'!AH42,'Ayarlar'!$B$6-2+1)))/'Proje girdileri'!AT42),0)+IF(AND(3&gt;IF('Ayarlar'!$B$7&lt;=0,99,ROUNDUP(MAX('Proje girdileri'!AC42,ROUNDUP('Proje girdileri'!AD42/'Ayarlar'!$B$7,0))/(52/12),0)),3&lt;='Ayarlar'!$B$6),IF('Proje girdileri'!AT42=0,MIN('Proje girdileri'!AH42,'Ayarlar'!$B$6-3+1),(1-POWER(1-'Proje girdileri'!AT42,MIN('Proje girdileri'!AH42,'Ayarlar'!$B$6-3+1)))/'Proje girdileri'!AT42),0)+IF(AND(4&gt;IF('Ayarlar'!$B$7&lt;=0,99,ROUNDUP(MAX('Proje girdileri'!AC42,ROUNDUP('Proje girdileri'!AD42/'Ayarlar'!$B$7,0))/(52/12),0)),4&lt;='Ayarlar'!$B$6),IF('Proje girdileri'!AT42=0,MIN('Proje girdileri'!AH42,'Ayarlar'!$B$6-4+1),(1-POWER(1-'Proje girdileri'!AT42,MIN('Proje girdileri'!AH42,'Ayarlar'!$B$6-4+1)))/'Proje girdileri'!AT42),0)+IF(AND(5&gt;IF('Ayarlar'!$B$7&lt;=0,99,ROUNDUP(MAX('Proje girdileri'!AC42,ROUNDUP('Proje girdileri'!AD42/'Ayarlar'!$B$7,0))/(52/12),0)),5&lt;='Ayarlar'!$B$6),IF('Proje girdileri'!AT42=0,MIN('Proje girdileri'!AH42,'Ayarlar'!$B$6-5+1),(1-POWER(1-'Proje girdileri'!AT42,MIN('Proje girdileri'!AH42,'Ayarlar'!$B$6-5+1)))/'Proje girdileri'!AT42),0)+IF(AND(6&gt;IF('Ayarlar'!$B$7&lt;=0,99,ROUNDUP(MAX('Proje girdileri'!AC42,ROUNDUP('Proje girdileri'!AD42/'Ayarlar'!$B$7,0))/(52/12),0)),6&lt;='Ayarlar'!$B$6),IF('Proje girdileri'!AT42=0,MIN('Proje girdileri'!AH42,'Ayarlar'!$B$6-6+1),(1-POWER(1-'Proje girdileri'!AT42,MIN('Proje girdileri'!AH42,'Ayarlar'!$B$6-6+1)))/'Proje girdileri'!AT42),0)+IF(AND(7&gt;IF('Ayarlar'!$B$7&lt;=0,99,ROUNDUP(MAX('Proje girdileri'!AC42,ROUNDUP('Proje girdileri'!AD42/'Ayarlar'!$B$7,0))/(52/12),0)),7&lt;='Ayarlar'!$B$6),IF('Proje girdileri'!AT42=0,MIN('Proje girdileri'!AH42,'Ayarlar'!$B$6-7+1),(1-POWER(1-'Proje girdileri'!AT42,MIN('Proje girdileri'!AH42,'Ayarlar'!$B$6-7+1)))/'Proje girdileri'!AT42),0)+IF(AND(8&gt;IF('Ayarlar'!$B$7&lt;=0,99,ROUNDUP(MAX('Proje girdileri'!AC42,ROUNDUP('Proje girdileri'!AD42/'Ayarlar'!$B$7,0))/(52/12),0)),8&lt;='Ayarlar'!$B$6),IF('Proje girdileri'!AT42=0,MIN('Proje girdileri'!AH42,'Ayarlar'!$B$6-8+1),(1-POWER(1-'Proje girdileri'!AT42,MIN('Proje girdileri'!AH42,'Ayarlar'!$B$6-8+1)))/'Proje girdileri'!AT42),0)+IF(AND(9&gt;IF('Ayarlar'!$B$7&lt;=0,99,ROUNDUP(MAX('Proje girdileri'!AC42,ROUNDUP('Proje girdileri'!AD42/'Ayarlar'!$B$7,0))/(52/12),0)),9&lt;='Ayarlar'!$B$6),IF('Proje girdileri'!AT42=0,MIN('Proje girdileri'!AH42,'Ayarlar'!$B$6-9+1),(1-POWER(1-'Proje girdileri'!AT42,MIN('Proje girdileri'!AH42,'Ayarlar'!$B$6-9+1)))/'Proje girdileri'!AT42),0)+IF(AND(10&gt;IF('Ayarlar'!$B$7&lt;=0,99,ROUNDUP(MAX('Proje girdileri'!AC42,ROUNDUP('Proje girdileri'!AD42/'Ayarlar'!$B$7,0))/(52/12),0)),10&lt;='Ayarlar'!$B$6),IF('Proje girdileri'!AT42=0,MIN('Proje girdileri'!AH42,'Ayarlar'!$B$6-10+1),(1-POWER(1-'Proje girdileri'!AT42,MIN('Proje girdileri'!AH42,'Ayarlar'!$B$6-10+1)))/'Proje girdileri'!AT42),0)+IF(AND(11&gt;IF('Ayarlar'!$B$7&lt;=0,99,ROUNDUP(MAX('Proje girdileri'!AC42,ROUNDUP('Proje girdileri'!AD42/'Ayarlar'!$B$7,0))/(52/12),0)),11&lt;='Ayarlar'!$B$6),IF('Proje girdileri'!AT42=0,MIN('Proje girdileri'!AH42,'Ayarlar'!$B$6-11+1),(1-POWER(1-'Proje girdileri'!AT42,MIN('Proje girdileri'!AH42,'Ayarlar'!$B$6-11+1)))/'Proje girdileri'!AT42),0)+IF(AND(12&gt;IF('Ayarlar'!$B$7&lt;=0,99,ROUNDUP(MAX('Proje girdileri'!AC42,ROUNDUP('Proje girdileri'!AD42/'Ayarlar'!$B$7,0))/(52/12),0)),12&lt;='Ayarlar'!$B$6),IF('Proje girdileri'!AT42=0,MIN('Proje girdileri'!AH42,'Ayarlar'!$B$6-12+1),(1-POWER(1-'Proje girdileri'!AT42,MIN('Proje girdileri'!AH42,'Ayarlar'!$B$6-12+1)))/'Proje girdileri'!AT42),0))/MAX(0,'Ayarlar'!$B$6-IF('Ayarlar'!$B$7&lt;=0,99,ROUNDUP(MAX('Proje girdileri'!AC42,ROUNDUP('Proje girdileri'!AD42/'Ayarlar'!$B$7,0))/(52/12),0)))),1))</x:f>
        <x:v>1</x:v>
      </x:c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 t="str">
        <x:f>'Proje girdileri'!A43</x:f>
        <x:v>Aile-39</x:v>
      </x:c>
      <x:c r="B43" s="2" t="str">
        <x:f>'Proje girdileri'!B43</x:f>
        <x:v>SKU katkı analitiği</x:v>
      </x:c>
      <x:c r="C43" s="2" t="str">
        <x:f>IF(OR(COUNT('Proje girdileri'!D43:H43)&lt;&gt;5,MIN('Proje girdileri'!D43:H43)&lt;0,MAX('Proje girdileri'!D43:H43)&gt;2),"Yalnız deney",IF(MIN('Proje girdileri'!D43:H43)=0,"Kapsam/engel",IF(MIN('Proje girdileri'!D43:H43)=1,"Yalnız deney","Geçti")))</x:f>
        <x:v>Yalnız deney</x:v>
      </x:c>
      <x:c r="D43" s="23" t="n">
        <x:f>IF(AND(COUNT('Proje girdileri'!I43:X43)=16,MIN('Proje girdileri'!I43:X43)&gt;=0,MAX('Proje girdileri'!I43:X43)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girdileri'!I43:X43,'Proje girdileri'!$I$2:$X$2)/5*100,"n.a.")</x:f>
        <x:v>55.400000000000006</x:v>
      </x:c>
      <x:c r="E43" s="23" t="n">
        <x:f>IF(AND(COUNT('Proje girdileri'!I43:X43)=16,MIN('Proje girdileri'!I43:X43)&gt;=0,MAX('Proje girdileri'!I43:X43)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girdileri'!I43:X43,'Proje girdileri'!$I$3:$X$3)/5*100,"n.a.")</x:f>
        <x:v>54.80000000000002</x:v>
      </x:c>
      <x:c r="F43" s="2" t="n">
        <x:f>IF(OR(COUNT('Ayarlar'!$B$5:$B$9)&lt;&gt;5,MIN('Ayarlar'!$B$5:$B$7)&lt;=0,MIN('Ayarlar'!$B$8:$B$9)&lt;0,NOT(ISNUMBER(H43)),H43&lt;=0),"n.a.",ROUNDUP(('Ayarlar'!$B$5+'Proje girdileri'!AI43+'Ayarlar'!$B$6*'Proje girdileri'!AJ43)/H43,0))</x:f>
        <x:v>154</x:v>
      </x:c>
      <x:c r="G43" s="2" t="n">
        <x:f>IF(OR('Proje girdileri'!C43="internal",'Proje girdileri'!AE43+'Proje girdileri'!AF43+'Proje girdileri'!AG43*U43&lt;=0),0,MAX(0,ROUNDDOWN((MIN(T43*'Ayarlar'!$B$7,'Ayarlar'!$B$6*52/12*'Ayarlar'!$B$7-'Proje girdileri'!AD43)-T43*'Proje girdileri'!AK43)/('Proje girdileri'!AE43+'Proje girdileri'!AF43+'Proje girdileri'!AG43*U43),0)))</x:f>
        <x:v>105</x:v>
      </x:c>
      <x:c r="H43" s="24" t="n">
        <x:f>IF(COUNT('Proje girdileri'!Y43:AL43)&lt;&gt;14,"n.a.",('Proje girdileri'!Y43*(1-'Proje girdileri'!AA43-'Proje girdileri'!AB43)-'Proje girdileri'!Z43)*U43)</x:f>
        <x:v>20.57</x:v>
      </x:c>
      <x:c r="I43" s="24" t="n">
        <x:f>IF(ISNUMBER(H43),IF(H43&gt;0,MIN('Proje girdileri'!AL43,G43),0),"n.a.")</x:f>
        <x:v>12</x:v>
      </x:c>
      <x:c r="J43" s="24" t="n">
        <x:f>IF(ISNUMBER(H43),I43*H43-'Proje girdileri'!AI43-'Ayarlar'!$B$6*'Proje girdileri'!AJ43,"n.a.")</x:f>
        <x:v>86.84</x:v>
      </x:c>
      <x:c r="K43" s="23" t="n">
        <x:f>IF(ISNUMBER(I43),'Proje girdileri'!AD43+T43*'Proje girdileri'!AK43+I43*('Proje girdileri'!AE43+'Proje girdileri'!AF43+'Proje girdileri'!AG43*U43),"n.a.")</x:f>
        <x:v>46.3</x:v>
      </x:c>
      <x:c r="L43" s="23" t="n">
        <x:f>IF(ISNUMBER(J43),J43-K43*'Ayarlar'!$B$9,"n.a.")</x:f>
        <x:v>-1070.66</x:v>
      </x:c>
      <x:c r="M43" s="23" t="n">
        <x:f>IF(AND(ISNUMBER(K43),'Ayarlar'!$B$6&gt;0),K43/('Ayarlar'!$B$6*52/12),"n.a.")</x:f>
        <x:v>1.7807692307692307</x:v>
      </x:c>
      <x:c r="N43" s="2" t="str">
        <x:f>IF('Proje girdileri'!AI43&lt;='Ayarlar'!$B$8,"Sığar","Aşar")</x:f>
        <x:v>Sığar</x:v>
      </x:c>
      <x:c r="O43" s="2" t="str">
        <x:f>IF(ISNUMBER(F43),IF(F43&lt;=G43,"Sığar","Aşar"),"n.a.")</x:f>
        <x:v>Aşar</x:v>
      </x:c>
      <x:c r="P43" s="2" t="n">
        <x:f>IF(OR(C43="Kapsam/engel",NOT(ISNUMBER(D43))),"n.a.",COUNTIFS($D$5:$D$50,"&gt;"&amp;D43,$C$5:$C$50,"&lt;&gt;Kapsam/engel")+COUNTIFS($D$5:D43,D43,$C$5:C43,"&lt;&gt;Kapsam/engel"))</x:f>
        <x:v>2</x:v>
      </x:c>
      <x:c r="Q43" s="2" t="n">
        <x:f>IF(OR(C43="Kapsam/engel",NOT(ISNUMBER(E43))),"n.a.",COUNTIFS($E$5:$E$50,"&gt;"&amp;E43,$C$5:$C$50,"&lt;&gt;Kapsam/engel")+COUNTIFS($E$5:E43,E43,$C$5:C43,"&lt;&gt;Kapsam/engel"))</x:f>
        <x:v>2</x:v>
      </x:c>
      <x:c r="R43" s="2" t="str">
        <x:f>IF(AND(C43="Geçti",N43="Sığar",O43="Sığar"),COUNTIFS($D$5:$D$50,"&gt;"&amp;D43,$C$5:$C$50,"Geçti",$N$5:$N$50,"Sığar",$O$5:$O$50,"Sığar")+COUNTIFS($D$5:D43,D43,$C$5:C43,"Geçti",$N$5:N43,"Sığar",$O$5:O43,"Sığar"),"n.a.")</x:f>
        <x:v>n.a.</x:v>
      </x:c>
      <x:c r="S43" s="24" t="n">
        <x:f>IF(ISNUMBER(J43),J43-MAX(0,J43)*'Ayarlar'!$B$10,"n.a.")</x:f>
        <x:v>86.84</x:v>
      </x:c>
      <x:c r="T43" s="2" t="n">
        <x:f>IF('Ayarlar'!$B$7&lt;=0,0,MAX(0,'Ayarlar'!$B$6*52/12-MAX('Proje girdileri'!AC43,ROUNDUP('Proje girdileri'!AD43/'Ayarlar'!$B$7,0))))</x:f>
        <x:v>21</x:v>
      </x:c>
      <x:c r="U43" s="2" t="n">
        <x:f>IF(T43=0,0,IF('Proje girdileri'!C43="recurring",IF(MAX(0,'Ayarlar'!$B$6-IF('Ayarlar'!$B$7&lt;=0,99,ROUNDUP(MAX('Proje girdileri'!AC43,ROUNDUP('Proje girdileri'!AD43/'Ayarlar'!$B$7,0))/(52/12),0)))=0,0,(IF(AND(1&gt;IF('Ayarlar'!$B$7&lt;=0,99,ROUNDUP(MAX('Proje girdileri'!AC43,ROUNDUP('Proje girdileri'!AD43/'Ayarlar'!$B$7,0))/(52/12),0)),1&lt;='Ayarlar'!$B$6),IF('Proje girdileri'!AT43=0,MIN('Proje girdileri'!AH43,'Ayarlar'!$B$6-1+1),(1-POWER(1-'Proje girdileri'!AT43,MIN('Proje girdileri'!AH43,'Ayarlar'!$B$6-1+1)))/'Proje girdileri'!AT43),0)+IF(AND(2&gt;IF('Ayarlar'!$B$7&lt;=0,99,ROUNDUP(MAX('Proje girdileri'!AC43,ROUNDUP('Proje girdileri'!AD43/'Ayarlar'!$B$7,0))/(52/12),0)),2&lt;='Ayarlar'!$B$6),IF('Proje girdileri'!AT43=0,MIN('Proje girdileri'!AH43,'Ayarlar'!$B$6-2+1),(1-POWER(1-'Proje girdileri'!AT43,MIN('Proje girdileri'!AH43,'Ayarlar'!$B$6-2+1)))/'Proje girdileri'!AT43),0)+IF(AND(3&gt;IF('Ayarlar'!$B$7&lt;=0,99,ROUNDUP(MAX('Proje girdileri'!AC43,ROUNDUP('Proje girdileri'!AD43/'Ayarlar'!$B$7,0))/(52/12),0)),3&lt;='Ayarlar'!$B$6),IF('Proje girdileri'!AT43=0,MIN('Proje girdileri'!AH43,'Ayarlar'!$B$6-3+1),(1-POWER(1-'Proje girdileri'!AT43,MIN('Proje girdileri'!AH43,'Ayarlar'!$B$6-3+1)))/'Proje girdileri'!AT43),0)+IF(AND(4&gt;IF('Ayarlar'!$B$7&lt;=0,99,ROUNDUP(MAX('Proje girdileri'!AC43,ROUNDUP('Proje girdileri'!AD43/'Ayarlar'!$B$7,0))/(52/12),0)),4&lt;='Ayarlar'!$B$6),IF('Proje girdileri'!AT43=0,MIN('Proje girdileri'!AH43,'Ayarlar'!$B$6-4+1),(1-POWER(1-'Proje girdileri'!AT43,MIN('Proje girdileri'!AH43,'Ayarlar'!$B$6-4+1)))/'Proje girdileri'!AT43),0)+IF(AND(5&gt;IF('Ayarlar'!$B$7&lt;=0,99,ROUNDUP(MAX('Proje girdileri'!AC43,ROUNDUP('Proje girdileri'!AD43/'Ayarlar'!$B$7,0))/(52/12),0)),5&lt;='Ayarlar'!$B$6),IF('Proje girdileri'!AT43=0,MIN('Proje girdileri'!AH43,'Ayarlar'!$B$6-5+1),(1-POWER(1-'Proje girdileri'!AT43,MIN('Proje girdileri'!AH43,'Ayarlar'!$B$6-5+1)))/'Proje girdileri'!AT43),0)+IF(AND(6&gt;IF('Ayarlar'!$B$7&lt;=0,99,ROUNDUP(MAX('Proje girdileri'!AC43,ROUNDUP('Proje girdileri'!AD43/'Ayarlar'!$B$7,0))/(52/12),0)),6&lt;='Ayarlar'!$B$6),IF('Proje girdileri'!AT43=0,MIN('Proje girdileri'!AH43,'Ayarlar'!$B$6-6+1),(1-POWER(1-'Proje girdileri'!AT43,MIN('Proje girdileri'!AH43,'Ayarlar'!$B$6-6+1)))/'Proje girdileri'!AT43),0)+IF(AND(7&gt;IF('Ayarlar'!$B$7&lt;=0,99,ROUNDUP(MAX('Proje girdileri'!AC43,ROUNDUP('Proje girdileri'!AD43/'Ayarlar'!$B$7,0))/(52/12),0)),7&lt;='Ayarlar'!$B$6),IF('Proje girdileri'!AT43=0,MIN('Proje girdileri'!AH43,'Ayarlar'!$B$6-7+1),(1-POWER(1-'Proje girdileri'!AT43,MIN('Proje girdileri'!AH43,'Ayarlar'!$B$6-7+1)))/'Proje girdileri'!AT43),0)+IF(AND(8&gt;IF('Ayarlar'!$B$7&lt;=0,99,ROUNDUP(MAX('Proje girdileri'!AC43,ROUNDUP('Proje girdileri'!AD43/'Ayarlar'!$B$7,0))/(52/12),0)),8&lt;='Ayarlar'!$B$6),IF('Proje girdileri'!AT43=0,MIN('Proje girdileri'!AH43,'Ayarlar'!$B$6-8+1),(1-POWER(1-'Proje girdileri'!AT43,MIN('Proje girdileri'!AH43,'Ayarlar'!$B$6-8+1)))/'Proje girdileri'!AT43),0)+IF(AND(9&gt;IF('Ayarlar'!$B$7&lt;=0,99,ROUNDUP(MAX('Proje girdileri'!AC43,ROUNDUP('Proje girdileri'!AD43/'Ayarlar'!$B$7,0))/(52/12),0)),9&lt;='Ayarlar'!$B$6),IF('Proje girdileri'!AT43=0,MIN('Proje girdileri'!AH43,'Ayarlar'!$B$6-9+1),(1-POWER(1-'Proje girdileri'!AT43,MIN('Proje girdileri'!AH43,'Ayarlar'!$B$6-9+1)))/'Proje girdileri'!AT43),0)+IF(AND(10&gt;IF('Ayarlar'!$B$7&lt;=0,99,ROUNDUP(MAX('Proje girdileri'!AC43,ROUNDUP('Proje girdileri'!AD43/'Ayarlar'!$B$7,0))/(52/12),0)),10&lt;='Ayarlar'!$B$6),IF('Proje girdileri'!AT43=0,MIN('Proje girdileri'!AH43,'Ayarlar'!$B$6-10+1),(1-POWER(1-'Proje girdileri'!AT43,MIN('Proje girdileri'!AH43,'Ayarlar'!$B$6-10+1)))/'Proje girdileri'!AT43),0)+IF(AND(11&gt;IF('Ayarlar'!$B$7&lt;=0,99,ROUNDUP(MAX('Proje girdileri'!AC43,ROUNDUP('Proje girdileri'!AD43/'Ayarlar'!$B$7,0))/(52/12),0)),11&lt;='Ayarlar'!$B$6),IF('Proje girdileri'!AT43=0,MIN('Proje girdileri'!AH43,'Ayarlar'!$B$6-11+1),(1-POWER(1-'Proje girdileri'!AT43,MIN('Proje girdileri'!AH43,'Ayarlar'!$B$6-11+1)))/'Proje girdileri'!AT43),0)+IF(AND(12&gt;IF('Ayarlar'!$B$7&lt;=0,99,ROUNDUP(MAX('Proje girdileri'!AC43,ROUNDUP('Proje girdileri'!AD43/'Ayarlar'!$B$7,0))/(52/12),0)),12&lt;='Ayarlar'!$B$6),IF('Proje girdileri'!AT43=0,MIN('Proje girdileri'!AH43,'Ayarlar'!$B$6-12+1),(1-POWER(1-'Proje girdileri'!AT43,MIN('Proje girdileri'!AH43,'Ayarlar'!$B$6-12+1)))/'Proje girdileri'!AT43),0))/MAX(0,'Ayarlar'!$B$6-IF('Ayarlar'!$B$7&lt;=0,99,ROUNDUP(MAX('Proje girdileri'!AC43,ROUNDUP('Proje girdileri'!AD43/'Ayarlar'!$B$7,0))/(52/12),0)))),1))</x:f>
        <x:v>1</x:v>
      </x:c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 t="str">
        <x:f>'Proje girdileri'!A44</x:f>
        <x:v>Aile-40</x:v>
      </x:c>
      <x:c r="B44" s="2" t="str">
        <x:f>'Proje girdileri'!B44</x:f>
        <x:v>Titanlar uygulama kohortu</x:v>
      </x:c>
      <x:c r="C44" s="2" t="str">
        <x:f>IF(OR(COUNT('Proje girdileri'!D44:H44)&lt;&gt;5,MIN('Proje girdileri'!D44:H44)&lt;0,MAX('Proje girdileri'!D44:H44)&gt;2),"Yalnız deney",IF(MIN('Proje girdileri'!D44:H44)=0,"Kapsam/engel",IF(MIN('Proje girdileri'!D44:H44)=1,"Yalnız deney","Geçti")))</x:f>
        <x:v>Yalnız deney</x:v>
      </x:c>
      <x:c r="D44" s="23" t="n">
        <x:f>IF(AND(COUNT('Proje girdileri'!I44:X44)=16,MIN('Proje girdileri'!I44:X44)&gt;=0,MAX('Proje girdileri'!I44:X44)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girdileri'!I44:X44,'Proje girdileri'!$I$2:$X$2)/5*100,"n.a.")</x:f>
        <x:v>46.80000000000001</x:v>
      </x:c>
      <x:c r="E44" s="23" t="n">
        <x:f>IF(AND(COUNT('Proje girdileri'!I44:X44)=16,MIN('Proje girdileri'!I44:X44)&gt;=0,MAX('Proje girdileri'!I44:X44)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girdileri'!I44:X44,'Proje girdileri'!$I$3:$X$3)/5*100,"n.a.")</x:f>
        <x:v>45.199999999999996</x:v>
      </x:c>
      <x:c r="F44" s="2" t="n">
        <x:f>IF(OR(COUNT('Ayarlar'!$B$5:$B$9)&lt;&gt;5,MIN('Ayarlar'!$B$5:$B$7)&lt;=0,MIN('Ayarlar'!$B$8:$B$9)&lt;0,NOT(ISNUMBER(H44)),H44&lt;=0),"n.a.",ROUNDUP(('Ayarlar'!$B$5+'Proje girdileri'!AI44+'Ayarlar'!$B$6*'Proje girdileri'!AJ44)/H44,0))</x:f>
        <x:v>24</x:v>
      </x:c>
      <x:c r="G44" s="2" t="n">
        <x:f>IF(OR('Proje girdileri'!C44="internal",'Proje girdileri'!AE44+'Proje girdileri'!AF44+'Proje girdileri'!AG44*U44&lt;=0),0,MAX(0,ROUNDDOWN((MIN(T44*'Ayarlar'!$B$7,'Ayarlar'!$B$6*52/12*'Ayarlar'!$B$7-'Proje girdileri'!AD44)-T44*'Proje girdileri'!AK44)/('Proje girdileri'!AE44+'Proje girdileri'!AF44+'Proje girdileri'!AG44*U44),0)))</x:f>
        <x:v>13</x:v>
      </x:c>
      <x:c r="H44" s="24" t="n">
        <x:f>IF(COUNT('Proje girdileri'!Y44:AL44)&lt;&gt;14,"n.a.",('Proje girdileri'!Y44*(1-'Proje girdileri'!AA44-'Proje girdileri'!AB44)-'Proje girdileri'!Z44)*U44)</x:f>
        <x:v>135</x:v>
      </x:c>
      <x:c r="I44" s="24" t="n">
        <x:f>IF(ISNUMBER(H44),IF(H44&gt;0,MIN('Proje girdileri'!AL44,G44),0),"n.a.")</x:f>
        <x:v>8</x:v>
      </x:c>
      <x:c r="J44" s="24" t="n">
        <x:f>IF(ISNUMBER(H44),I44*H44-'Proje girdileri'!AI44-'Ayarlar'!$B$6*'Proje girdileri'!AJ44,"n.a.")</x:f>
        <x:v>840</x:v>
      </x:c>
      <x:c r="K44" s="23" t="n">
        <x:f>IF(ISNUMBER(I44),'Proje girdileri'!AD44+T44*'Proje girdileri'!AK44+I44*('Proje girdileri'!AE44+'Proje girdileri'!AF44+'Proje girdileri'!AG44*U44),"n.a.")</x:f>
        <x:v>96.5</x:v>
      </x:c>
      <x:c r="L44" s="23" t="n">
        <x:f>IF(ISNUMBER(J44),J44-K44*'Ayarlar'!$B$9,"n.a.")</x:f>
        <x:v>-1572.5</x:v>
      </x:c>
      <x:c r="M44" s="23" t="n">
        <x:f>IF(AND(ISNUMBER(K44),'Ayarlar'!$B$6&gt;0),K44/('Ayarlar'!$B$6*52/12),"n.a.")</x:f>
        <x:v>3.7115384615384617</x:v>
      </x:c>
      <x:c r="N44" s="2" t="str">
        <x:f>IF('Proje girdileri'!AI44&lt;='Ayarlar'!$B$8,"Sığar","Aşar")</x:f>
        <x:v>Sığar</x:v>
      </x:c>
      <x:c r="O44" s="2" t="str">
        <x:f>IF(ISNUMBER(F44),IF(F44&lt;=G44,"Sığar","Aşar"),"n.a.")</x:f>
        <x:v>Aşar</x:v>
      </x:c>
      <x:c r="P44" s="2" t="n">
        <x:f>IF(OR(C44="Kapsam/engel",NOT(ISNUMBER(D44))),"n.a.",COUNTIFS($D$5:$D$50,"&gt;"&amp;D44,$C$5:$C$50,"&lt;&gt;Kapsam/engel")+COUNTIFS($D$5:D44,D44,$C$5:C44,"&lt;&gt;Kapsam/engel"))</x:f>
        <x:v>26</x:v>
      </x:c>
      <x:c r="Q44" s="2" t="n">
        <x:f>IF(OR(C44="Kapsam/engel",NOT(ISNUMBER(E44))),"n.a.",COUNTIFS($E$5:$E$50,"&gt;"&amp;E44,$C$5:$C$50,"&lt;&gt;Kapsam/engel")+COUNTIFS($E$5:E44,E44,$C$5:C44,"&lt;&gt;Kapsam/engel"))</x:f>
        <x:v>28</x:v>
      </x:c>
      <x:c r="R44" s="2" t="str">
        <x:f>IF(AND(C44="Geçti",N44="Sığar",O44="Sığar"),COUNTIFS($D$5:$D$50,"&gt;"&amp;D44,$C$5:$C$50,"Geçti",$N$5:$N$50,"Sığar",$O$5:$O$50,"Sığar")+COUNTIFS($D$5:D44,D44,$C$5:C44,"Geçti",$N$5:N44,"Sığar",$O$5:O44,"Sığar"),"n.a.")</x:f>
        <x:v>n.a.</x:v>
      </x:c>
      <x:c r="S44" s="24" t="n">
        <x:f>IF(ISNUMBER(J44),J44-MAX(0,J44)*'Ayarlar'!$B$10,"n.a.")</x:f>
        <x:v>840</x:v>
      </x:c>
      <x:c r="T44" s="2" t="n">
        <x:f>IF('Ayarlar'!$B$7&lt;=0,0,MAX(0,'Ayarlar'!$B$6*52/12-MAX('Proje girdileri'!AC44,ROUNDUP('Proje girdileri'!AD44/'Ayarlar'!$B$7,0))))</x:f>
        <x:v>19</x:v>
      </x:c>
      <x:c r="U44" s="2" t="n">
        <x:f>IF(T44=0,0,IF('Proje girdileri'!C44="recurring",IF(MAX(0,'Ayarlar'!$B$6-IF('Ayarlar'!$B$7&lt;=0,99,ROUNDUP(MAX('Proje girdileri'!AC44,ROUNDUP('Proje girdileri'!AD44/'Ayarlar'!$B$7,0))/(52/12),0)))=0,0,(IF(AND(1&gt;IF('Ayarlar'!$B$7&lt;=0,99,ROUNDUP(MAX('Proje girdileri'!AC44,ROUNDUP('Proje girdileri'!AD44/'Ayarlar'!$B$7,0))/(52/12),0)),1&lt;='Ayarlar'!$B$6),IF('Proje girdileri'!AT44=0,MIN('Proje girdileri'!AH44,'Ayarlar'!$B$6-1+1),(1-POWER(1-'Proje girdileri'!AT44,MIN('Proje girdileri'!AH44,'Ayarlar'!$B$6-1+1)))/'Proje girdileri'!AT44),0)+IF(AND(2&gt;IF('Ayarlar'!$B$7&lt;=0,99,ROUNDUP(MAX('Proje girdileri'!AC44,ROUNDUP('Proje girdileri'!AD44/'Ayarlar'!$B$7,0))/(52/12),0)),2&lt;='Ayarlar'!$B$6),IF('Proje girdileri'!AT44=0,MIN('Proje girdileri'!AH44,'Ayarlar'!$B$6-2+1),(1-POWER(1-'Proje girdileri'!AT44,MIN('Proje girdileri'!AH44,'Ayarlar'!$B$6-2+1)))/'Proje girdileri'!AT44),0)+IF(AND(3&gt;IF('Ayarlar'!$B$7&lt;=0,99,ROUNDUP(MAX('Proje girdileri'!AC44,ROUNDUP('Proje girdileri'!AD44/'Ayarlar'!$B$7,0))/(52/12),0)),3&lt;='Ayarlar'!$B$6),IF('Proje girdileri'!AT44=0,MIN('Proje girdileri'!AH44,'Ayarlar'!$B$6-3+1),(1-POWER(1-'Proje girdileri'!AT44,MIN('Proje girdileri'!AH44,'Ayarlar'!$B$6-3+1)))/'Proje girdileri'!AT44),0)+IF(AND(4&gt;IF('Ayarlar'!$B$7&lt;=0,99,ROUNDUP(MAX('Proje girdileri'!AC44,ROUNDUP('Proje girdileri'!AD44/'Ayarlar'!$B$7,0))/(52/12),0)),4&lt;='Ayarlar'!$B$6),IF('Proje girdileri'!AT44=0,MIN('Proje girdileri'!AH44,'Ayarlar'!$B$6-4+1),(1-POWER(1-'Proje girdileri'!AT44,MIN('Proje girdileri'!AH44,'Ayarlar'!$B$6-4+1)))/'Proje girdileri'!AT44),0)+IF(AND(5&gt;IF('Ayarlar'!$B$7&lt;=0,99,ROUNDUP(MAX('Proje girdileri'!AC44,ROUNDUP('Proje girdileri'!AD44/'Ayarlar'!$B$7,0))/(52/12),0)),5&lt;='Ayarlar'!$B$6),IF('Proje girdileri'!AT44=0,MIN('Proje girdileri'!AH44,'Ayarlar'!$B$6-5+1),(1-POWER(1-'Proje girdileri'!AT44,MIN('Proje girdileri'!AH44,'Ayarlar'!$B$6-5+1)))/'Proje girdileri'!AT44),0)+IF(AND(6&gt;IF('Ayarlar'!$B$7&lt;=0,99,ROUNDUP(MAX('Proje girdileri'!AC44,ROUNDUP('Proje girdileri'!AD44/'Ayarlar'!$B$7,0))/(52/12),0)),6&lt;='Ayarlar'!$B$6),IF('Proje girdileri'!AT44=0,MIN('Proje girdileri'!AH44,'Ayarlar'!$B$6-6+1),(1-POWER(1-'Proje girdileri'!AT44,MIN('Proje girdileri'!AH44,'Ayarlar'!$B$6-6+1)))/'Proje girdileri'!AT44),0)+IF(AND(7&gt;IF('Ayarlar'!$B$7&lt;=0,99,ROUNDUP(MAX('Proje girdileri'!AC44,ROUNDUP('Proje girdileri'!AD44/'Ayarlar'!$B$7,0))/(52/12),0)),7&lt;='Ayarlar'!$B$6),IF('Proje girdileri'!AT44=0,MIN('Proje girdileri'!AH44,'Ayarlar'!$B$6-7+1),(1-POWER(1-'Proje girdileri'!AT44,MIN('Proje girdileri'!AH44,'Ayarlar'!$B$6-7+1)))/'Proje girdileri'!AT44),0)+IF(AND(8&gt;IF('Ayarlar'!$B$7&lt;=0,99,ROUNDUP(MAX('Proje girdileri'!AC44,ROUNDUP('Proje girdileri'!AD44/'Ayarlar'!$B$7,0))/(52/12),0)),8&lt;='Ayarlar'!$B$6),IF('Proje girdileri'!AT44=0,MIN('Proje girdileri'!AH44,'Ayarlar'!$B$6-8+1),(1-POWER(1-'Proje girdileri'!AT44,MIN('Proje girdileri'!AH44,'Ayarlar'!$B$6-8+1)))/'Proje girdileri'!AT44),0)+IF(AND(9&gt;IF('Ayarlar'!$B$7&lt;=0,99,ROUNDUP(MAX('Proje girdileri'!AC44,ROUNDUP('Proje girdileri'!AD44/'Ayarlar'!$B$7,0))/(52/12),0)),9&lt;='Ayarlar'!$B$6),IF('Proje girdileri'!AT44=0,MIN('Proje girdileri'!AH44,'Ayarlar'!$B$6-9+1),(1-POWER(1-'Proje girdileri'!AT44,MIN('Proje girdileri'!AH44,'Ayarlar'!$B$6-9+1)))/'Proje girdileri'!AT44),0)+IF(AND(10&gt;IF('Ayarlar'!$B$7&lt;=0,99,ROUNDUP(MAX('Proje girdileri'!AC44,ROUNDUP('Proje girdileri'!AD44/'Ayarlar'!$B$7,0))/(52/12),0)),10&lt;='Ayarlar'!$B$6),IF('Proje girdileri'!AT44=0,MIN('Proje girdileri'!AH44,'Ayarlar'!$B$6-10+1),(1-POWER(1-'Proje girdileri'!AT44,MIN('Proje girdileri'!AH44,'Ayarlar'!$B$6-10+1)))/'Proje girdileri'!AT44),0)+IF(AND(11&gt;IF('Ayarlar'!$B$7&lt;=0,99,ROUNDUP(MAX('Proje girdileri'!AC44,ROUNDUP('Proje girdileri'!AD44/'Ayarlar'!$B$7,0))/(52/12),0)),11&lt;='Ayarlar'!$B$6),IF('Proje girdileri'!AT44=0,MIN('Proje girdileri'!AH44,'Ayarlar'!$B$6-11+1),(1-POWER(1-'Proje girdileri'!AT44,MIN('Proje girdileri'!AH44,'Ayarlar'!$B$6-11+1)))/'Proje girdileri'!AT44),0)+IF(AND(12&gt;IF('Ayarlar'!$B$7&lt;=0,99,ROUNDUP(MAX('Proje girdileri'!AC44,ROUNDUP('Proje girdileri'!AD44/'Ayarlar'!$B$7,0))/(52/12),0)),12&lt;='Ayarlar'!$B$6),IF('Proje girdileri'!AT44=0,MIN('Proje girdileri'!AH44,'Ayarlar'!$B$6-12+1),(1-POWER(1-'Proje girdileri'!AT44,MIN('Proje girdileri'!AH44,'Ayarlar'!$B$6-12+1)))/'Proje girdileri'!AT44),0))/MAX(0,'Ayarlar'!$B$6-IF('Ayarlar'!$B$7&lt;=0,99,ROUNDUP(MAX('Proje girdileri'!AC44,ROUNDUP('Proje girdileri'!AD44/'Ayarlar'!$B$7,0))/(52/12),0)))),1))</x:f>
        <x:v>1</x:v>
      </x:c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 t="str">
        <x:f>'Proje girdileri'!A45</x:f>
        <x:v>Aile-41</x:v>
      </x:c>
      <x:c r="B45" s="2" t="str">
        <x:f>'Proje girdileri'!B45</x:f>
        <x:v>Operasyon kapsam kaydı</x:v>
      </x:c>
      <x:c r="C45" s="2" t="str">
        <x:f>IF(OR(COUNT('Proje girdileri'!D45:H45)&lt;&gt;5,MIN('Proje girdileri'!D45:H45)&lt;0,MAX('Proje girdileri'!D45:H45)&gt;2),"Yalnız deney",IF(MIN('Proje girdileri'!D45:H45)=0,"Kapsam/engel",IF(MIN('Proje girdileri'!D45:H45)=1,"Yalnız deney","Geçti")))</x:f>
        <x:v>Kapsam/engel</x:v>
      </x:c>
      <x:c r="D45" s="23" t="n">
        <x:f>IF(AND(COUNT('Proje girdileri'!I45:X45)=16,MIN('Proje girdileri'!I45:X45)&gt;=0,MAX('Proje girdileri'!I45:X45)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girdileri'!I45:X45,'Proje girdileri'!$I$2:$X$2)/5*100,"n.a.")</x:f>
        <x:v>0</x:v>
      </x:c>
      <x:c r="E45" s="23" t="n">
        <x:f>IF(AND(COUNT('Proje girdileri'!I45:X45)=16,MIN('Proje girdileri'!I45:X45)&gt;=0,MAX('Proje girdileri'!I45:X45)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girdileri'!I45:X45,'Proje girdileri'!$I$3:$X$3)/5*100,"n.a.")</x:f>
        <x:v>0</x:v>
      </x:c>
      <x:c r="F45" s="2" t="str">
        <x:f>IF(OR(COUNT('Ayarlar'!$B$5:$B$9)&lt;&gt;5,MIN('Ayarlar'!$B$5:$B$7)&lt;=0,MIN('Ayarlar'!$B$8:$B$9)&lt;0,NOT(ISNUMBER(H45)),H45&lt;=0),"n.a.",ROUNDUP(('Ayarlar'!$B$5+'Proje girdileri'!AI45+'Ayarlar'!$B$6*'Proje girdileri'!AJ45)/H45,0))</x:f>
        <x:v>n.a.</x:v>
      </x:c>
      <x:c r="G45" s="2" t="n">
        <x:f>IF(OR('Proje girdileri'!C45="internal",'Proje girdileri'!AE45+'Proje girdileri'!AF45+'Proje girdileri'!AG45*U45&lt;=0),0,MAX(0,ROUNDDOWN((MIN(T45*'Ayarlar'!$B$7,'Ayarlar'!$B$6*52/12*'Ayarlar'!$B$7-'Proje girdileri'!AD45)-T45*'Proje girdileri'!AK45)/('Proje girdileri'!AE45+'Proje girdileri'!AF45+'Proje girdileri'!AG45*U45),0)))</x:f>
        <x:v>0</x:v>
      </x:c>
      <x:c r="H45" s="24" t="n">
        <x:f>IF(COUNT('Proje girdileri'!Y45:AL45)&lt;&gt;14,"n.a.",('Proje girdileri'!Y45*(1-'Proje girdileri'!AA45-'Proje girdileri'!AB45)-'Proje girdileri'!Z45)*U45)</x:f>
        <x:v>0</x:v>
      </x:c>
      <x:c r="I45" s="24" t="n">
        <x:f>IF(ISNUMBER(H45),IF(H45&gt;0,MIN('Proje girdileri'!AL45,G45),0),"n.a.")</x:f>
        <x:v>0</x:v>
      </x:c>
      <x:c r="J45" s="24" t="n">
        <x:f>IF(ISNUMBER(H45),I45*H45-'Proje girdileri'!AI45-'Ayarlar'!$B$6*'Proje girdileri'!AJ45,"n.a.")</x:f>
        <x:v>0</x:v>
      </x:c>
      <x:c r="K45" s="23" t="n">
        <x:f>IF(ISNUMBER(I45),'Proje girdileri'!AD45+T45*'Proje girdileri'!AK45+I45*('Proje girdileri'!AE45+'Proje girdileri'!AF45+'Proje girdileri'!AG45*U45),"n.a.")</x:f>
        <x:v>0</x:v>
      </x:c>
      <x:c r="L45" s="23" t="n">
        <x:f>IF(ISNUMBER(J45),J45-K45*'Ayarlar'!$B$9,"n.a.")</x:f>
        <x:v>0</x:v>
      </x:c>
      <x:c r="M45" s="23" t="n">
        <x:f>IF(AND(ISNUMBER(K45),'Ayarlar'!$B$6&gt;0),K45/('Ayarlar'!$B$6*52/12),"n.a.")</x:f>
        <x:v>0</x:v>
      </x:c>
      <x:c r="N45" s="2" t="str">
        <x:f>IF('Proje girdileri'!AI45&lt;='Ayarlar'!$B$8,"Sığar","Aşar")</x:f>
        <x:v>Sığar</x:v>
      </x:c>
      <x:c r="O45" s="2" t="str">
        <x:f>IF(ISNUMBER(F45),IF(F45&lt;=G45,"Sığar","Aşar"),"n.a.")</x:f>
        <x:v>n.a.</x:v>
      </x:c>
      <x:c r="P45" s="2" t="str">
        <x:f>IF(OR(C45="Kapsam/engel",NOT(ISNUMBER(D45))),"n.a.",COUNTIFS($D$5:$D$50,"&gt;"&amp;D45,$C$5:$C$50,"&lt;&gt;Kapsam/engel")+COUNTIFS($D$5:D45,D45,$C$5:C45,"&lt;&gt;Kapsam/engel"))</x:f>
        <x:v>n.a.</x:v>
      </x:c>
      <x:c r="Q45" s="2" t="str">
        <x:f>IF(OR(C45="Kapsam/engel",NOT(ISNUMBER(E45))),"n.a.",COUNTIFS($E$5:$E$50,"&gt;"&amp;E45,$C$5:$C$50,"&lt;&gt;Kapsam/engel")+COUNTIFS($E$5:E45,E45,$C$5:C45,"&lt;&gt;Kapsam/engel"))</x:f>
        <x:v>n.a.</x:v>
      </x:c>
      <x:c r="R45" s="2" t="str">
        <x:f>IF(AND(C45="Geçti",N45="Sığar",O45="Sığar"),COUNTIFS($D$5:$D$50,"&gt;"&amp;D45,$C$5:$C$50,"Geçti",$N$5:$N$50,"Sığar",$O$5:$O$50,"Sığar")+COUNTIFS($D$5:D45,D45,$C$5:C45,"Geçti",$N$5:N45,"Sığar",$O$5:O45,"Sığar"),"n.a.")</x:f>
        <x:v>n.a.</x:v>
      </x:c>
      <x:c r="S45" s="24" t="n">
        <x:f>IF(ISNUMBER(J45),J45-MAX(0,J45)*'Ayarlar'!$B$10,"n.a.")</x:f>
        <x:v>0</x:v>
      </x:c>
      <x:c r="T45" s="2" t="n">
        <x:f>IF('Ayarlar'!$B$7&lt;=0,0,MAX(0,'Ayarlar'!$B$6*52/12-MAX('Proje girdileri'!AC45,ROUNDUP('Proje girdileri'!AD45/'Ayarlar'!$B$7,0))))</x:f>
        <x:v>26</x:v>
      </x:c>
      <x:c r="U45" s="2" t="n">
        <x:f>IF(T45=0,0,IF('Proje girdileri'!C45="recurring",IF(MAX(0,'Ayarlar'!$B$6-IF('Ayarlar'!$B$7&lt;=0,99,ROUNDUP(MAX('Proje girdileri'!AC45,ROUNDUP('Proje girdileri'!AD45/'Ayarlar'!$B$7,0))/(52/12),0)))=0,0,(IF(AND(1&gt;IF('Ayarlar'!$B$7&lt;=0,99,ROUNDUP(MAX('Proje girdileri'!AC45,ROUNDUP('Proje girdileri'!AD45/'Ayarlar'!$B$7,0))/(52/12),0)),1&lt;='Ayarlar'!$B$6),IF('Proje girdileri'!AT45=0,MIN('Proje girdileri'!AH45,'Ayarlar'!$B$6-1+1),(1-POWER(1-'Proje girdileri'!AT45,MIN('Proje girdileri'!AH45,'Ayarlar'!$B$6-1+1)))/'Proje girdileri'!AT45),0)+IF(AND(2&gt;IF('Ayarlar'!$B$7&lt;=0,99,ROUNDUP(MAX('Proje girdileri'!AC45,ROUNDUP('Proje girdileri'!AD45/'Ayarlar'!$B$7,0))/(52/12),0)),2&lt;='Ayarlar'!$B$6),IF('Proje girdileri'!AT45=0,MIN('Proje girdileri'!AH45,'Ayarlar'!$B$6-2+1),(1-POWER(1-'Proje girdileri'!AT45,MIN('Proje girdileri'!AH45,'Ayarlar'!$B$6-2+1)))/'Proje girdileri'!AT45),0)+IF(AND(3&gt;IF('Ayarlar'!$B$7&lt;=0,99,ROUNDUP(MAX('Proje girdileri'!AC45,ROUNDUP('Proje girdileri'!AD45/'Ayarlar'!$B$7,0))/(52/12),0)),3&lt;='Ayarlar'!$B$6),IF('Proje girdileri'!AT45=0,MIN('Proje girdileri'!AH45,'Ayarlar'!$B$6-3+1),(1-POWER(1-'Proje girdileri'!AT45,MIN('Proje girdileri'!AH45,'Ayarlar'!$B$6-3+1)))/'Proje girdileri'!AT45),0)+IF(AND(4&gt;IF('Ayarlar'!$B$7&lt;=0,99,ROUNDUP(MAX('Proje girdileri'!AC45,ROUNDUP('Proje girdileri'!AD45/'Ayarlar'!$B$7,0))/(52/12),0)),4&lt;='Ayarlar'!$B$6),IF('Proje girdileri'!AT45=0,MIN('Proje girdileri'!AH45,'Ayarlar'!$B$6-4+1),(1-POWER(1-'Proje girdileri'!AT45,MIN('Proje girdileri'!AH45,'Ayarlar'!$B$6-4+1)))/'Proje girdileri'!AT45),0)+IF(AND(5&gt;IF('Ayarlar'!$B$7&lt;=0,99,ROUNDUP(MAX('Proje girdileri'!AC45,ROUNDUP('Proje girdileri'!AD45/'Ayarlar'!$B$7,0))/(52/12),0)),5&lt;='Ayarlar'!$B$6),IF('Proje girdileri'!AT45=0,MIN('Proje girdileri'!AH45,'Ayarlar'!$B$6-5+1),(1-POWER(1-'Proje girdileri'!AT45,MIN('Proje girdileri'!AH45,'Ayarlar'!$B$6-5+1)))/'Proje girdileri'!AT45),0)+IF(AND(6&gt;IF('Ayarlar'!$B$7&lt;=0,99,ROUNDUP(MAX('Proje girdileri'!AC45,ROUNDUP('Proje girdileri'!AD45/'Ayarlar'!$B$7,0))/(52/12),0)),6&lt;='Ayarlar'!$B$6),IF('Proje girdileri'!AT45=0,MIN('Proje girdileri'!AH45,'Ayarlar'!$B$6-6+1),(1-POWER(1-'Proje girdileri'!AT45,MIN('Proje girdileri'!AH45,'Ayarlar'!$B$6-6+1)))/'Proje girdileri'!AT45),0)+IF(AND(7&gt;IF('Ayarlar'!$B$7&lt;=0,99,ROUNDUP(MAX('Proje girdileri'!AC45,ROUNDUP('Proje girdileri'!AD45/'Ayarlar'!$B$7,0))/(52/12),0)),7&lt;='Ayarlar'!$B$6),IF('Proje girdileri'!AT45=0,MIN('Proje girdileri'!AH45,'Ayarlar'!$B$6-7+1),(1-POWER(1-'Proje girdileri'!AT45,MIN('Proje girdileri'!AH45,'Ayarlar'!$B$6-7+1)))/'Proje girdileri'!AT45),0)+IF(AND(8&gt;IF('Ayarlar'!$B$7&lt;=0,99,ROUNDUP(MAX('Proje girdileri'!AC45,ROUNDUP('Proje girdileri'!AD45/'Ayarlar'!$B$7,0))/(52/12),0)),8&lt;='Ayarlar'!$B$6),IF('Proje girdileri'!AT45=0,MIN('Proje girdileri'!AH45,'Ayarlar'!$B$6-8+1),(1-POWER(1-'Proje girdileri'!AT45,MIN('Proje girdileri'!AH45,'Ayarlar'!$B$6-8+1)))/'Proje girdileri'!AT45),0)+IF(AND(9&gt;IF('Ayarlar'!$B$7&lt;=0,99,ROUNDUP(MAX('Proje girdileri'!AC45,ROUNDUP('Proje girdileri'!AD45/'Ayarlar'!$B$7,0))/(52/12),0)),9&lt;='Ayarlar'!$B$6),IF('Proje girdileri'!AT45=0,MIN('Proje girdileri'!AH45,'Ayarlar'!$B$6-9+1),(1-POWER(1-'Proje girdileri'!AT45,MIN('Proje girdileri'!AH45,'Ayarlar'!$B$6-9+1)))/'Proje girdileri'!AT45),0)+IF(AND(10&gt;IF('Ayarlar'!$B$7&lt;=0,99,ROUNDUP(MAX('Proje girdileri'!AC45,ROUNDUP('Proje girdileri'!AD45/'Ayarlar'!$B$7,0))/(52/12),0)),10&lt;='Ayarlar'!$B$6),IF('Proje girdileri'!AT45=0,MIN('Proje girdileri'!AH45,'Ayarlar'!$B$6-10+1),(1-POWER(1-'Proje girdileri'!AT45,MIN('Proje girdileri'!AH45,'Ayarlar'!$B$6-10+1)))/'Proje girdileri'!AT45),0)+IF(AND(11&gt;IF('Ayarlar'!$B$7&lt;=0,99,ROUNDUP(MAX('Proje girdileri'!AC45,ROUNDUP('Proje girdileri'!AD45/'Ayarlar'!$B$7,0))/(52/12),0)),11&lt;='Ayarlar'!$B$6),IF('Proje girdileri'!AT45=0,MIN('Proje girdileri'!AH45,'Ayarlar'!$B$6-11+1),(1-POWER(1-'Proje girdileri'!AT45,MIN('Proje girdileri'!AH45,'Ayarlar'!$B$6-11+1)))/'Proje girdileri'!AT45),0)+IF(AND(12&gt;IF('Ayarlar'!$B$7&lt;=0,99,ROUNDUP(MAX('Proje girdileri'!AC45,ROUNDUP('Proje girdileri'!AD45/'Ayarlar'!$B$7,0))/(52/12),0)),12&lt;='Ayarlar'!$B$6),IF('Proje girdileri'!AT45=0,MIN('Proje girdileri'!AH45,'Ayarlar'!$B$6-12+1),(1-POWER(1-'Proje girdileri'!AT45,MIN('Proje girdileri'!AH45,'Ayarlar'!$B$6-12+1)))/'Proje girdileri'!AT45),0))/MAX(0,'Ayarlar'!$B$6-IF('Ayarlar'!$B$7&lt;=0,99,ROUNDUP(MAX('Proje girdileri'!AC45,ROUNDUP('Proje girdileri'!AD45/'Ayarlar'!$B$7,0))/(52/12),0)))),1))</x:f>
        <x:v>1</x:v>
      </x:c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 t="str">
        <x:f>'Proje girdileri'!A46</x:f>
        <x:v>Aile-42</x:v>
      </x:c>
      <x:c r="B46" s="2" t="str">
        <x:f>'Proje girdileri'!B46</x:f>
        <x:v>Viseos operasyon</x:v>
      </x:c>
      <x:c r="C46" s="2" t="str">
        <x:f>IF(OR(COUNT('Proje girdileri'!D46:H46)&lt;&gt;5,MIN('Proje girdileri'!D46:H46)&lt;0,MAX('Proje girdileri'!D46:H46)&gt;2),"Yalnız deney",IF(MIN('Proje girdileri'!D46:H46)=0,"Kapsam/engel",IF(MIN('Proje girdileri'!D46:H46)=1,"Yalnız deney","Geçti")))</x:f>
        <x:v>Yalnız deney</x:v>
      </x:c>
      <x:c r="D46" s="23" t="n">
        <x:f>IF(AND(COUNT('Proje girdileri'!I46:X46)=16,MIN('Proje girdileri'!I46:X46)&gt;=0,MAX('Proje girdileri'!I46:X46)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girdileri'!I46:X46,'Proje girdileri'!$I$2:$X$2)/5*100,"n.a.")</x:f>
        <x:v>51.4</x:v>
      </x:c>
      <x:c r="E46" s="23" t="n">
        <x:f>IF(AND(COUNT('Proje girdileri'!I46:X46)=16,MIN('Proje girdileri'!I46:X46)&gt;=0,MAX('Proje girdileri'!I46:X46)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girdileri'!I46:X46,'Proje girdileri'!$I$3:$X$3)/5*100,"n.a.")</x:f>
        <x:v>50.5</x:v>
      </x:c>
      <x:c r="F46" s="2" t="n">
        <x:f>IF(OR(COUNT('Ayarlar'!$B$5:$B$9)&lt;&gt;5,MIN('Ayarlar'!$B$5:$B$7)&lt;=0,MIN('Ayarlar'!$B$8:$B$9)&lt;0,NOT(ISNUMBER(H46)),H46&lt;=0),"n.a.",ROUNDUP(('Ayarlar'!$B$5+'Proje girdileri'!AI46+'Ayarlar'!$B$6*'Proje girdileri'!AJ46)/H46,0))</x:f>
        <x:v>50</x:v>
      </x:c>
      <x:c r="G46" s="2" t="n">
        <x:f>IF(OR('Proje girdileri'!C46="internal",'Proje girdileri'!AE46+'Proje girdileri'!AF46+'Proje girdileri'!AG46*U46&lt;=0),0,MAX(0,ROUNDDOWN((MIN(T46*'Ayarlar'!$B$7,'Ayarlar'!$B$6*52/12*'Ayarlar'!$B$7-'Proje girdileri'!AD46)-T46*'Proje girdileri'!AK46)/('Proje girdileri'!AE46+'Proje girdileri'!AF46+'Proje girdileri'!AG46*U46),0)))</x:f>
        <x:v>7</x:v>
      </x:c>
      <x:c r="H46" s="24" t="n">
        <x:f>IF(COUNT('Proje girdileri'!Y46:AL46)&lt;&gt;14,"n.a.",('Proje girdileri'!Y46*(1-'Proje girdileri'!AA46-'Proje girdileri'!AB46)-'Proje girdileri'!Z46)*U46)</x:f>
        <x:v>67.77000000000005</x:v>
      </x:c>
      <x:c r="I46" s="24" t="n">
        <x:f>IF(ISNUMBER(H46),IF(H46&gt;0,MIN('Proje girdileri'!AL46,G46),0),"n.a.")</x:f>
        <x:v>7</x:v>
      </x:c>
      <x:c r="J46" s="24" t="n">
        <x:f>IF(ISNUMBER(H46),I46*H46-'Proje girdileri'!AI46-'Ayarlar'!$B$6*'Proje girdileri'!AJ46,"n.a.")</x:f>
        <x:v>104.39000000000038</x:v>
      </x:c>
      <x:c r="K46" s="23" t="n">
        <x:f>IF(ISNUMBER(I46),'Proje girdileri'!AD46+T46*'Proje girdileri'!AK46+I46*('Proje girdileri'!AE46+'Proje girdileri'!AF46+'Proje girdileri'!AG46*U46),"n.a.")</x:f>
        <x:v>129.60000000000002</x:v>
      </x:c>
      <x:c r="L46" s="23" t="n">
        <x:f>IF(ISNUMBER(J46),J46-K46*'Ayarlar'!$B$9,"n.a.")</x:f>
        <x:v>-3135.61</x:v>
      </x:c>
      <x:c r="M46" s="23" t="n">
        <x:f>IF(AND(ISNUMBER(K46),'Ayarlar'!$B$6&gt;0),K46/('Ayarlar'!$B$6*52/12),"n.a.")</x:f>
        <x:v>4.984615384615386</x:v>
      </x:c>
      <x:c r="N46" s="2" t="str">
        <x:f>IF('Proje girdileri'!AI46&lt;='Ayarlar'!$B$8,"Sığar","Aşar")</x:f>
        <x:v>Sığar</x:v>
      </x:c>
      <x:c r="O46" s="2" t="str">
        <x:f>IF(ISNUMBER(F46),IF(F46&lt;=G46,"Sığar","Aşar"),"n.a.")</x:f>
        <x:v>Aşar</x:v>
      </x:c>
      <x:c r="P46" s="2" t="n">
        <x:f>IF(OR(C46="Kapsam/engel",NOT(ISNUMBER(D46))),"n.a.",COUNTIFS($D$5:$D$50,"&gt;"&amp;D46,$C$5:$C$50,"&lt;&gt;Kapsam/engel")+COUNTIFS($D$5:D46,D46,$C$5:C46,"&lt;&gt;Kapsam/engel"))</x:f>
        <x:v>11</x:v>
      </x:c>
      <x:c r="Q46" s="2" t="n">
        <x:f>IF(OR(C46="Kapsam/engel",NOT(ISNUMBER(E46))),"n.a.",COUNTIFS($E$5:$E$50,"&gt;"&amp;E46,$C$5:$C$50,"&lt;&gt;Kapsam/engel")+COUNTIFS($E$5:E46,E46,$C$5:C46,"&lt;&gt;Kapsam/engel"))</x:f>
        <x:v>11</x:v>
      </x:c>
      <x:c r="R46" s="2" t="str">
        <x:f>IF(AND(C46="Geçti",N46="Sığar",O46="Sığar"),COUNTIFS($D$5:$D$50,"&gt;"&amp;D46,$C$5:$C$50,"Geçti",$N$5:$N$50,"Sığar",$O$5:$O$50,"Sığar")+COUNTIFS($D$5:D46,D46,$C$5:C46,"Geçti",$N$5:N46,"Sığar",$O$5:O46,"Sığar"),"n.a.")</x:f>
        <x:v>n.a.</x:v>
      </x:c>
      <x:c r="S46" s="24" t="n">
        <x:f>IF(ISNUMBER(J46),J46-MAX(0,J46)*'Ayarlar'!$B$10,"n.a.")</x:f>
        <x:v>104.39000000000038</x:v>
      </x:c>
      <x:c r="T46" s="2" t="n">
        <x:f>IF('Ayarlar'!$B$7&lt;=0,0,MAX(0,'Ayarlar'!$B$6*52/12-MAX('Proje girdileri'!AC46,ROUNDUP('Proje girdileri'!AD46/'Ayarlar'!$B$7,0))))</x:f>
        <x:v>8</x:v>
      </x:c>
      <x:c r="U46" s="2" t="n">
        <x:f>IF(T46=0,0,IF('Proje girdileri'!C46="recurring",IF(MAX(0,'Ayarlar'!$B$6-IF('Ayarlar'!$B$7&lt;=0,99,ROUNDUP(MAX('Proje girdileri'!AC46,ROUNDUP('Proje girdileri'!AD46/'Ayarlar'!$B$7,0))/(52/12),0)))=0,0,(IF(AND(1&gt;IF('Ayarlar'!$B$7&lt;=0,99,ROUNDUP(MAX('Proje girdileri'!AC46,ROUNDUP('Proje girdileri'!AD46/'Ayarlar'!$B$7,0))/(52/12),0)),1&lt;='Ayarlar'!$B$6),IF('Proje girdileri'!AT46=0,MIN('Proje girdileri'!AH46,'Ayarlar'!$B$6-1+1),(1-POWER(1-'Proje girdileri'!AT46,MIN('Proje girdileri'!AH46,'Ayarlar'!$B$6-1+1)))/'Proje girdileri'!AT46),0)+IF(AND(2&gt;IF('Ayarlar'!$B$7&lt;=0,99,ROUNDUP(MAX('Proje girdileri'!AC46,ROUNDUP('Proje girdileri'!AD46/'Ayarlar'!$B$7,0))/(52/12),0)),2&lt;='Ayarlar'!$B$6),IF('Proje girdileri'!AT46=0,MIN('Proje girdileri'!AH46,'Ayarlar'!$B$6-2+1),(1-POWER(1-'Proje girdileri'!AT46,MIN('Proje girdileri'!AH46,'Ayarlar'!$B$6-2+1)))/'Proje girdileri'!AT46),0)+IF(AND(3&gt;IF('Ayarlar'!$B$7&lt;=0,99,ROUNDUP(MAX('Proje girdileri'!AC46,ROUNDUP('Proje girdileri'!AD46/'Ayarlar'!$B$7,0))/(52/12),0)),3&lt;='Ayarlar'!$B$6),IF('Proje girdileri'!AT46=0,MIN('Proje girdileri'!AH46,'Ayarlar'!$B$6-3+1),(1-POWER(1-'Proje girdileri'!AT46,MIN('Proje girdileri'!AH46,'Ayarlar'!$B$6-3+1)))/'Proje girdileri'!AT46),0)+IF(AND(4&gt;IF('Ayarlar'!$B$7&lt;=0,99,ROUNDUP(MAX('Proje girdileri'!AC46,ROUNDUP('Proje girdileri'!AD46/'Ayarlar'!$B$7,0))/(52/12),0)),4&lt;='Ayarlar'!$B$6),IF('Proje girdileri'!AT46=0,MIN('Proje girdileri'!AH46,'Ayarlar'!$B$6-4+1),(1-POWER(1-'Proje girdileri'!AT46,MIN('Proje girdileri'!AH46,'Ayarlar'!$B$6-4+1)))/'Proje girdileri'!AT46),0)+IF(AND(5&gt;IF('Ayarlar'!$B$7&lt;=0,99,ROUNDUP(MAX('Proje girdileri'!AC46,ROUNDUP('Proje girdileri'!AD46/'Ayarlar'!$B$7,0))/(52/12),0)),5&lt;='Ayarlar'!$B$6),IF('Proje girdileri'!AT46=0,MIN('Proje girdileri'!AH46,'Ayarlar'!$B$6-5+1),(1-POWER(1-'Proje girdileri'!AT46,MIN('Proje girdileri'!AH46,'Ayarlar'!$B$6-5+1)))/'Proje girdileri'!AT46),0)+IF(AND(6&gt;IF('Ayarlar'!$B$7&lt;=0,99,ROUNDUP(MAX('Proje girdileri'!AC46,ROUNDUP('Proje girdileri'!AD46/'Ayarlar'!$B$7,0))/(52/12),0)),6&lt;='Ayarlar'!$B$6),IF('Proje girdileri'!AT46=0,MIN('Proje girdileri'!AH46,'Ayarlar'!$B$6-6+1),(1-POWER(1-'Proje girdileri'!AT46,MIN('Proje girdileri'!AH46,'Ayarlar'!$B$6-6+1)))/'Proje girdileri'!AT46),0)+IF(AND(7&gt;IF('Ayarlar'!$B$7&lt;=0,99,ROUNDUP(MAX('Proje girdileri'!AC46,ROUNDUP('Proje girdileri'!AD46/'Ayarlar'!$B$7,0))/(52/12),0)),7&lt;='Ayarlar'!$B$6),IF('Proje girdileri'!AT46=0,MIN('Proje girdileri'!AH46,'Ayarlar'!$B$6-7+1),(1-POWER(1-'Proje girdileri'!AT46,MIN('Proje girdileri'!AH46,'Ayarlar'!$B$6-7+1)))/'Proje girdileri'!AT46),0)+IF(AND(8&gt;IF('Ayarlar'!$B$7&lt;=0,99,ROUNDUP(MAX('Proje girdileri'!AC46,ROUNDUP('Proje girdileri'!AD46/'Ayarlar'!$B$7,0))/(52/12),0)),8&lt;='Ayarlar'!$B$6),IF('Proje girdileri'!AT46=0,MIN('Proje girdileri'!AH46,'Ayarlar'!$B$6-8+1),(1-POWER(1-'Proje girdileri'!AT46,MIN('Proje girdileri'!AH46,'Ayarlar'!$B$6-8+1)))/'Proje girdileri'!AT46),0)+IF(AND(9&gt;IF('Ayarlar'!$B$7&lt;=0,99,ROUNDUP(MAX('Proje girdileri'!AC46,ROUNDUP('Proje girdileri'!AD46/'Ayarlar'!$B$7,0))/(52/12),0)),9&lt;='Ayarlar'!$B$6),IF('Proje girdileri'!AT46=0,MIN('Proje girdileri'!AH46,'Ayarlar'!$B$6-9+1),(1-POWER(1-'Proje girdileri'!AT46,MIN('Proje girdileri'!AH46,'Ayarlar'!$B$6-9+1)))/'Proje girdileri'!AT46),0)+IF(AND(10&gt;IF('Ayarlar'!$B$7&lt;=0,99,ROUNDUP(MAX('Proje girdileri'!AC46,ROUNDUP('Proje girdileri'!AD46/'Ayarlar'!$B$7,0))/(52/12),0)),10&lt;='Ayarlar'!$B$6),IF('Proje girdileri'!AT46=0,MIN('Proje girdileri'!AH46,'Ayarlar'!$B$6-10+1),(1-POWER(1-'Proje girdileri'!AT46,MIN('Proje girdileri'!AH46,'Ayarlar'!$B$6-10+1)))/'Proje girdileri'!AT46),0)+IF(AND(11&gt;IF('Ayarlar'!$B$7&lt;=0,99,ROUNDUP(MAX('Proje girdileri'!AC46,ROUNDUP('Proje girdileri'!AD46/'Ayarlar'!$B$7,0))/(52/12),0)),11&lt;='Ayarlar'!$B$6),IF('Proje girdileri'!AT46=0,MIN('Proje girdileri'!AH46,'Ayarlar'!$B$6-11+1),(1-POWER(1-'Proje girdileri'!AT46,MIN('Proje girdileri'!AH46,'Ayarlar'!$B$6-11+1)))/'Proje girdileri'!AT46),0)+IF(AND(12&gt;IF('Ayarlar'!$B$7&lt;=0,99,ROUNDUP(MAX('Proje girdileri'!AC46,ROUNDUP('Proje girdileri'!AD46/'Ayarlar'!$B$7,0))/(52/12),0)),12&lt;='Ayarlar'!$B$6),IF('Proje girdileri'!AT46=0,MIN('Proje girdileri'!AH46,'Ayarlar'!$B$6-12+1),(1-POWER(1-'Proje girdileri'!AT46,MIN('Proje girdileri'!AH46,'Ayarlar'!$B$6-12+1)))/'Proje girdileri'!AT46),0))/MAX(0,'Ayarlar'!$B$6-IF('Ayarlar'!$B$7&lt;=0,99,ROUNDUP(MAX('Proje girdileri'!AC46,ROUNDUP('Proje girdileri'!AD46/'Ayarlar'!$B$7,0))/(52/12),0)))),1))</x:f>
        <x:v>1.0000000000000009</x:v>
      </x:c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 t="str">
        <x:f>'Proje girdileri'!A47</x:f>
        <x:v>Aile-43</x:v>
      </x:c>
      <x:c r="B47" s="2" t="str">
        <x:f>'Proje girdileri'!B47</x:f>
        <x:v>Volley Tap</x:v>
      </x:c>
      <x:c r="C47" s="2" t="str">
        <x:f>IF(OR(COUNT('Proje girdileri'!D47:H47)&lt;&gt;5,MIN('Proje girdileri'!D47:H47)&lt;0,MAX('Proje girdileri'!D47:H47)&gt;2),"Yalnız deney",IF(MIN('Proje girdileri'!D47:H47)=0,"Kapsam/engel",IF(MIN('Proje girdileri'!D47:H47)=1,"Yalnız deney","Geçti")))</x:f>
        <x:v>Yalnız deney</x:v>
      </x:c>
      <x:c r="D47" s="23" t="n">
        <x:f>IF(AND(COUNT('Proje girdileri'!I47:X47)=16,MIN('Proje girdileri'!I47:X47)&gt;=0,MAX('Proje girdileri'!I47:X47)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girdileri'!I47:X47,'Proje girdileri'!$I$2:$X$2)/5*100,"n.a.")</x:f>
        <x:v>33.50000000000001</x:v>
      </x:c>
      <x:c r="E47" s="23" t="n">
        <x:f>IF(AND(COUNT('Proje girdileri'!I47:X47)=16,MIN('Proje girdileri'!I47:X47)&gt;=0,MAX('Proje girdileri'!I47:X47)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girdileri'!I47:X47,'Proje girdileri'!$I$3:$X$3)/5*100,"n.a.")</x:f>
        <x:v>33.50000000000001</x:v>
      </x:c>
      <x:c r="F47" s="2" t="n">
        <x:f>IF(OR(COUNT('Ayarlar'!$B$5:$B$9)&lt;&gt;5,MIN('Ayarlar'!$B$5:$B$7)&lt;=0,MIN('Ayarlar'!$B$8:$B$9)&lt;0,NOT(ISNUMBER(H47)),H47&lt;=0),"n.a.",ROUNDUP(('Ayarlar'!$B$5+'Proje girdileri'!AI47+'Ayarlar'!$B$6*'Proje girdileri'!AJ47)/H47,0))</x:f>
        <x:v>1250</x:v>
      </x:c>
      <x:c r="G47" s="2" t="n">
        <x:f>IF(OR('Proje girdileri'!C47="internal",'Proje girdileri'!AE47+'Proje girdileri'!AF47+'Proje girdileri'!AG47*U47&lt;=0),0,MAX(0,ROUNDDOWN((MIN(T47*'Ayarlar'!$B$7,'Ayarlar'!$B$6*52/12*'Ayarlar'!$B$7-'Proje girdileri'!AD47)-T47*'Proje girdileri'!AK47)/('Proje girdileri'!AE47+'Proje girdileri'!AF47+'Proje girdileri'!AG47*U47),0)))</x:f>
        <x:v>177</x:v>
      </x:c>
      <x:c r="H47" s="24" t="n">
        <x:f>IF(COUNT('Proje girdileri'!Y47:AL47)&lt;&gt;14,"n.a.",('Proje girdileri'!Y47*(1-'Proje girdileri'!AA47-'Proje girdileri'!AB47)-'Proje girdileri'!Z47)*U47)</x:f>
        <x:v>2.5</x:v>
      </x:c>
      <x:c r="I47" s="24" t="n">
        <x:f>IF(ISNUMBER(H47),IF(H47&gt;0,MIN('Proje girdileri'!AL47,G47),0),"n.a.")</x:f>
        <x:v>10</x:v>
      </x:c>
      <x:c r="J47" s="24" t="n">
        <x:f>IF(ISNUMBER(H47),I47*H47-'Proje girdileri'!AI47-'Ayarlar'!$B$6*'Proje girdileri'!AJ47,"n.a.")</x:f>
        <x:v>-98</x:v>
      </x:c>
      <x:c r="K47" s="23" t="n">
        <x:f>IF(ISNUMBER(I47),'Proje girdileri'!AD47+T47*'Proje girdileri'!AK47+I47*('Proje girdileri'!AE47+'Proje girdileri'!AF47+'Proje girdileri'!AG47*U47),"n.a.")</x:f>
        <x:v>54.5</x:v>
      </x:c>
      <x:c r="L47" s="23" t="n">
        <x:f>IF(ISNUMBER(J47),J47-K47*'Ayarlar'!$B$9,"n.a.")</x:f>
        <x:v>-1460.5</x:v>
      </x:c>
      <x:c r="M47" s="23" t="n">
        <x:f>IF(AND(ISNUMBER(K47),'Ayarlar'!$B$6&gt;0),K47/('Ayarlar'!$B$6*52/12),"n.a.")</x:f>
        <x:v>2.0961538461538463</x:v>
      </x:c>
      <x:c r="N47" s="2" t="str">
        <x:f>IF('Proje girdileri'!AI47&lt;='Ayarlar'!$B$8,"Sığar","Aşar")</x:f>
        <x:v>Sığar</x:v>
      </x:c>
      <x:c r="O47" s="2" t="str">
        <x:f>IF(ISNUMBER(F47),IF(F47&lt;=G47,"Sığar","Aşar"),"n.a.")</x:f>
        <x:v>Aşar</x:v>
      </x:c>
      <x:c r="P47" s="2" t="n">
        <x:f>IF(OR(C47="Kapsam/engel",NOT(ISNUMBER(D47))),"n.a.",COUNTIFS($D$5:$D$50,"&gt;"&amp;D47,$C$5:$C$50,"&lt;&gt;Kapsam/engel")+COUNTIFS($D$5:D47,D47,$C$5:C47,"&lt;&gt;Kapsam/engel"))</x:f>
        <x:v>39</x:v>
      </x:c>
      <x:c r="Q47" s="2" t="n">
        <x:f>IF(OR(C47="Kapsam/engel",NOT(ISNUMBER(E47))),"n.a.",COUNTIFS($E$5:$E$50,"&gt;"&amp;E47,$C$5:$C$50,"&lt;&gt;Kapsam/engel")+COUNTIFS($E$5:E47,E47,$C$5:C47,"&lt;&gt;Kapsam/engel"))</x:f>
        <x:v>39</x:v>
      </x:c>
      <x:c r="R47" s="2" t="str">
        <x:f>IF(AND(C47="Geçti",N47="Sığar",O47="Sığar"),COUNTIFS($D$5:$D$50,"&gt;"&amp;D47,$C$5:$C$50,"Geçti",$N$5:$N$50,"Sığar",$O$5:$O$50,"Sığar")+COUNTIFS($D$5:D47,D47,$C$5:C47,"Geçti",$N$5:N47,"Sığar",$O$5:O47,"Sığar"),"n.a.")</x:f>
        <x:v>n.a.</x:v>
      </x:c>
      <x:c r="S47" s="24" t="n">
        <x:f>IF(ISNUMBER(J47),J47-MAX(0,J47)*'Ayarlar'!$B$10,"n.a.")</x:f>
        <x:v>-98</x:v>
      </x:c>
      <x:c r="T47" s="2" t="n">
        <x:f>IF('Ayarlar'!$B$7&lt;=0,0,MAX(0,'Ayarlar'!$B$6*52/12-MAX('Proje girdileri'!AC47,ROUNDUP('Proje girdileri'!AD47/'Ayarlar'!$B$7,0))))</x:f>
        <x:v>20</x:v>
      </x:c>
      <x:c r="U47" s="2" t="n">
        <x:f>IF(T47=0,0,IF('Proje girdileri'!C47="recurring",IF(MAX(0,'Ayarlar'!$B$6-IF('Ayarlar'!$B$7&lt;=0,99,ROUNDUP(MAX('Proje girdileri'!AC47,ROUNDUP('Proje girdileri'!AD47/'Ayarlar'!$B$7,0))/(52/12),0)))=0,0,(IF(AND(1&gt;IF('Ayarlar'!$B$7&lt;=0,99,ROUNDUP(MAX('Proje girdileri'!AC47,ROUNDUP('Proje girdileri'!AD47/'Ayarlar'!$B$7,0))/(52/12),0)),1&lt;='Ayarlar'!$B$6),IF('Proje girdileri'!AT47=0,MIN('Proje girdileri'!AH47,'Ayarlar'!$B$6-1+1),(1-POWER(1-'Proje girdileri'!AT47,MIN('Proje girdileri'!AH47,'Ayarlar'!$B$6-1+1)))/'Proje girdileri'!AT47),0)+IF(AND(2&gt;IF('Ayarlar'!$B$7&lt;=0,99,ROUNDUP(MAX('Proje girdileri'!AC47,ROUNDUP('Proje girdileri'!AD47/'Ayarlar'!$B$7,0))/(52/12),0)),2&lt;='Ayarlar'!$B$6),IF('Proje girdileri'!AT47=0,MIN('Proje girdileri'!AH47,'Ayarlar'!$B$6-2+1),(1-POWER(1-'Proje girdileri'!AT47,MIN('Proje girdileri'!AH47,'Ayarlar'!$B$6-2+1)))/'Proje girdileri'!AT47),0)+IF(AND(3&gt;IF('Ayarlar'!$B$7&lt;=0,99,ROUNDUP(MAX('Proje girdileri'!AC47,ROUNDUP('Proje girdileri'!AD47/'Ayarlar'!$B$7,0))/(52/12),0)),3&lt;='Ayarlar'!$B$6),IF('Proje girdileri'!AT47=0,MIN('Proje girdileri'!AH47,'Ayarlar'!$B$6-3+1),(1-POWER(1-'Proje girdileri'!AT47,MIN('Proje girdileri'!AH47,'Ayarlar'!$B$6-3+1)))/'Proje girdileri'!AT47),0)+IF(AND(4&gt;IF('Ayarlar'!$B$7&lt;=0,99,ROUNDUP(MAX('Proje girdileri'!AC47,ROUNDUP('Proje girdileri'!AD47/'Ayarlar'!$B$7,0))/(52/12),0)),4&lt;='Ayarlar'!$B$6),IF('Proje girdileri'!AT47=0,MIN('Proje girdileri'!AH47,'Ayarlar'!$B$6-4+1),(1-POWER(1-'Proje girdileri'!AT47,MIN('Proje girdileri'!AH47,'Ayarlar'!$B$6-4+1)))/'Proje girdileri'!AT47),0)+IF(AND(5&gt;IF('Ayarlar'!$B$7&lt;=0,99,ROUNDUP(MAX('Proje girdileri'!AC47,ROUNDUP('Proje girdileri'!AD47/'Ayarlar'!$B$7,0))/(52/12),0)),5&lt;='Ayarlar'!$B$6),IF('Proje girdileri'!AT47=0,MIN('Proje girdileri'!AH47,'Ayarlar'!$B$6-5+1),(1-POWER(1-'Proje girdileri'!AT47,MIN('Proje girdileri'!AH47,'Ayarlar'!$B$6-5+1)))/'Proje girdileri'!AT47),0)+IF(AND(6&gt;IF('Ayarlar'!$B$7&lt;=0,99,ROUNDUP(MAX('Proje girdileri'!AC47,ROUNDUP('Proje girdileri'!AD47/'Ayarlar'!$B$7,0))/(52/12),0)),6&lt;='Ayarlar'!$B$6),IF('Proje girdileri'!AT47=0,MIN('Proje girdileri'!AH47,'Ayarlar'!$B$6-6+1),(1-POWER(1-'Proje girdileri'!AT47,MIN('Proje girdileri'!AH47,'Ayarlar'!$B$6-6+1)))/'Proje girdileri'!AT47),0)+IF(AND(7&gt;IF('Ayarlar'!$B$7&lt;=0,99,ROUNDUP(MAX('Proje girdileri'!AC47,ROUNDUP('Proje girdileri'!AD47/'Ayarlar'!$B$7,0))/(52/12),0)),7&lt;='Ayarlar'!$B$6),IF('Proje girdileri'!AT47=0,MIN('Proje girdileri'!AH47,'Ayarlar'!$B$6-7+1),(1-POWER(1-'Proje girdileri'!AT47,MIN('Proje girdileri'!AH47,'Ayarlar'!$B$6-7+1)))/'Proje girdileri'!AT47),0)+IF(AND(8&gt;IF('Ayarlar'!$B$7&lt;=0,99,ROUNDUP(MAX('Proje girdileri'!AC47,ROUNDUP('Proje girdileri'!AD47/'Ayarlar'!$B$7,0))/(52/12),0)),8&lt;='Ayarlar'!$B$6),IF('Proje girdileri'!AT47=0,MIN('Proje girdileri'!AH47,'Ayarlar'!$B$6-8+1),(1-POWER(1-'Proje girdileri'!AT47,MIN('Proje girdileri'!AH47,'Ayarlar'!$B$6-8+1)))/'Proje girdileri'!AT47),0)+IF(AND(9&gt;IF('Ayarlar'!$B$7&lt;=0,99,ROUNDUP(MAX('Proje girdileri'!AC47,ROUNDUP('Proje girdileri'!AD47/'Ayarlar'!$B$7,0))/(52/12),0)),9&lt;='Ayarlar'!$B$6),IF('Proje girdileri'!AT47=0,MIN('Proje girdileri'!AH47,'Ayarlar'!$B$6-9+1),(1-POWER(1-'Proje girdileri'!AT47,MIN('Proje girdileri'!AH47,'Ayarlar'!$B$6-9+1)))/'Proje girdileri'!AT47),0)+IF(AND(10&gt;IF('Ayarlar'!$B$7&lt;=0,99,ROUNDUP(MAX('Proje girdileri'!AC47,ROUNDUP('Proje girdileri'!AD47/'Ayarlar'!$B$7,0))/(52/12),0)),10&lt;='Ayarlar'!$B$6),IF('Proje girdileri'!AT47=0,MIN('Proje girdileri'!AH47,'Ayarlar'!$B$6-10+1),(1-POWER(1-'Proje girdileri'!AT47,MIN('Proje girdileri'!AH47,'Ayarlar'!$B$6-10+1)))/'Proje girdileri'!AT47),0)+IF(AND(11&gt;IF('Ayarlar'!$B$7&lt;=0,99,ROUNDUP(MAX('Proje girdileri'!AC47,ROUNDUP('Proje girdileri'!AD47/'Ayarlar'!$B$7,0))/(52/12),0)),11&lt;='Ayarlar'!$B$6),IF('Proje girdileri'!AT47=0,MIN('Proje girdileri'!AH47,'Ayarlar'!$B$6-11+1),(1-POWER(1-'Proje girdileri'!AT47,MIN('Proje girdileri'!AH47,'Ayarlar'!$B$6-11+1)))/'Proje girdileri'!AT47),0)+IF(AND(12&gt;IF('Ayarlar'!$B$7&lt;=0,99,ROUNDUP(MAX('Proje girdileri'!AC47,ROUNDUP('Proje girdileri'!AD47/'Ayarlar'!$B$7,0))/(52/12),0)),12&lt;='Ayarlar'!$B$6),IF('Proje girdileri'!AT47=0,MIN('Proje girdileri'!AH47,'Ayarlar'!$B$6-12+1),(1-POWER(1-'Proje girdileri'!AT47,MIN('Proje girdileri'!AH47,'Ayarlar'!$B$6-12+1)))/'Proje girdileri'!AT47),0))/MAX(0,'Ayarlar'!$B$6-IF('Ayarlar'!$B$7&lt;=0,99,ROUNDUP(MAX('Proje girdileri'!AC47,ROUNDUP('Proje girdileri'!AD47/'Ayarlar'!$B$7,0))/(52/12),0)))),1))</x:f>
        <x:v>1</x:v>
      </x:c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 t="str">
        <x:f>'Proje girdileri'!A48</x:f>
        <x:v>Aile-44</x:v>
      </x:c>
      <x:c r="B48" s="2" t="str">
        <x:f>'Proje girdileri'!B48</x:f>
        <x:v>Woo yorum migration</x:v>
      </x:c>
      <x:c r="C48" s="2" t="str">
        <x:f>IF(OR(COUNT('Proje girdileri'!D48:H48)&lt;&gt;5,MIN('Proje girdileri'!D48:H48)&lt;0,MAX('Proje girdileri'!D48:H48)&gt;2),"Yalnız deney",IF(MIN('Proje girdileri'!D48:H48)=0,"Kapsam/engel",IF(MIN('Proje girdileri'!D48:H48)=1,"Yalnız deney","Geçti")))</x:f>
        <x:v>Yalnız deney</x:v>
      </x:c>
      <x:c r="D48" s="23" t="n">
        <x:f>IF(AND(COUNT('Proje girdileri'!I48:X48)=16,MIN('Proje girdileri'!I48:X48)&gt;=0,MAX('Proje girdileri'!I48:X48)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girdileri'!I48:X48,'Proje girdileri'!$I$2:$X$2)/5*100,"n.a.")</x:f>
        <x:v>46.99999999999999</x:v>
      </x:c>
      <x:c r="E48" s="23" t="n">
        <x:f>IF(AND(COUNT('Proje girdileri'!I48:X48)=16,MIN('Proje girdileri'!I48:X48)&gt;=0,MAX('Proje girdileri'!I48:X48)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girdileri'!I48:X48,'Proje girdileri'!$I$3:$X$3)/5*100,"n.a.")</x:f>
        <x:v>45.699999999999996</x:v>
      </x:c>
      <x:c r="F48" s="2" t="n">
        <x:f>IF(OR(COUNT('Ayarlar'!$B$5:$B$9)&lt;&gt;5,MIN('Ayarlar'!$B$5:$B$7)&lt;=0,MIN('Ayarlar'!$B$8:$B$9)&lt;0,NOT(ISNUMBER(H48)),H48&lt;=0),"n.a.",ROUNDUP(('Ayarlar'!$B$5+'Proje girdileri'!AI48+'Ayarlar'!$B$6*'Proje girdileri'!AJ48)/H48,0))</x:f>
        <x:v>33</x:v>
      </x:c>
      <x:c r="G48" s="2" t="n">
        <x:f>IF(OR('Proje girdileri'!C48="internal",'Proje girdileri'!AE48+'Proje girdileri'!AF48+'Proje girdileri'!AG48*U48&lt;=0),0,MAX(0,ROUNDDOWN((MIN(T48*'Ayarlar'!$B$7,'Ayarlar'!$B$6*52/12*'Ayarlar'!$B$7-'Proje girdileri'!AD48)-T48*'Proje girdileri'!AK48)/('Proje girdileri'!AE48+'Proje girdileri'!AF48+'Proje girdileri'!AG48*U48),0)))</x:f>
        <x:v>16</x:v>
      </x:c>
      <x:c r="H48" s="24" t="n">
        <x:f>IF(COUNT('Proje girdileri'!Y48:AL48)&lt;&gt;14,"n.a.",('Proje girdileri'!Y48*(1-'Proje girdileri'!AA48-'Proje girdileri'!AB48)-'Proje girdileri'!Z48)*U48)</x:f>
        <x:v>96.6</x:v>
      </x:c>
      <x:c r="I48" s="24" t="n">
        <x:f>IF(ISNUMBER(H48),IF(H48&gt;0,MIN('Proje girdileri'!AL48,G48),0),"n.a.")</x:f>
        <x:v>12</x:v>
      </x:c>
      <x:c r="J48" s="24" t="n">
        <x:f>IF(ISNUMBER(H48),I48*H48-'Proje girdileri'!AI48-'Ayarlar'!$B$6*'Proje girdileri'!AJ48,"n.a.")</x:f>
        <x:v>999.1999999999998</x:v>
      </x:c>
      <x:c r="K48" s="23" t="n">
        <x:f>IF(ISNUMBER(I48),'Proje girdileri'!AD48+T48*'Proje girdileri'!AK48+I48*('Proje girdileri'!AE48+'Proje girdileri'!AF48+'Proje girdileri'!AG48*U48),"n.a.")</x:f>
        <x:v>106.30000000000001</x:v>
      </x:c>
      <x:c r="L48" s="23" t="n">
        <x:f>IF(ISNUMBER(J48),J48-K48*'Ayarlar'!$B$9,"n.a.")</x:f>
        <x:v>-1658.3000000000006</x:v>
      </x:c>
      <x:c r="M48" s="23" t="n">
        <x:f>IF(AND(ISNUMBER(K48),'Ayarlar'!$B$6&gt;0),K48/('Ayarlar'!$B$6*52/12),"n.a.")</x:f>
        <x:v>4.088461538461539</x:v>
      </x:c>
      <x:c r="N48" s="2" t="str">
        <x:f>IF('Proje girdileri'!AI48&lt;='Ayarlar'!$B$8,"Sığar","Aşar")</x:f>
        <x:v>Sığar</x:v>
      </x:c>
      <x:c r="O48" s="2" t="str">
        <x:f>IF(ISNUMBER(F48),IF(F48&lt;=G48,"Sığar","Aşar"),"n.a.")</x:f>
        <x:v>Aşar</x:v>
      </x:c>
      <x:c r="P48" s="2" t="n">
        <x:f>IF(OR(C48="Kapsam/engel",NOT(ISNUMBER(D48))),"n.a.",COUNTIFS($D$5:$D$50,"&gt;"&amp;D48,$C$5:$C$50,"&lt;&gt;Kapsam/engel")+COUNTIFS($D$5:D48,D48,$C$5:C48,"&lt;&gt;Kapsam/engel"))</x:f>
        <x:v>23</x:v>
      </x:c>
      <x:c r="Q48" s="2" t="n">
        <x:f>IF(OR(C48="Kapsam/engel",NOT(ISNUMBER(E48))),"n.a.",COUNTIFS($E$5:$E$50,"&gt;"&amp;E48,$C$5:$C$50,"&lt;&gt;Kapsam/engel")+COUNTIFS($E$5:E48,E48,$C$5:C48,"&lt;&gt;Kapsam/engel"))</x:f>
        <x:v>24</x:v>
      </x:c>
      <x:c r="R48" s="2" t="str">
        <x:f>IF(AND(C48="Geçti",N48="Sığar",O48="Sığar"),COUNTIFS($D$5:$D$50,"&gt;"&amp;D48,$C$5:$C$50,"Geçti",$N$5:$N$50,"Sığar",$O$5:$O$50,"Sığar")+COUNTIFS($D$5:D48,D48,$C$5:C48,"Geçti",$N$5:N48,"Sığar",$O$5:O48,"Sığar"),"n.a.")</x:f>
        <x:v>n.a.</x:v>
      </x:c>
      <x:c r="S48" s="24" t="n">
        <x:f>IF(ISNUMBER(J48),J48-MAX(0,J48)*'Ayarlar'!$B$10,"n.a.")</x:f>
        <x:v>999.1999999999998</x:v>
      </x:c>
      <x:c r="T48" s="2" t="n">
        <x:f>IF('Ayarlar'!$B$7&lt;=0,0,MAX(0,'Ayarlar'!$B$6*52/12-MAX('Proje girdileri'!AC48,ROUNDUP('Proje girdileri'!AD48/'Ayarlar'!$B$7,0))))</x:f>
        <x:v>19</x:v>
      </x:c>
      <x:c r="U48" s="2" t="n">
        <x:f>IF(T48=0,0,IF('Proje girdileri'!C48="recurring",IF(MAX(0,'Ayarlar'!$B$6-IF('Ayarlar'!$B$7&lt;=0,99,ROUNDUP(MAX('Proje girdileri'!AC48,ROUNDUP('Proje girdileri'!AD48/'Ayarlar'!$B$7,0))/(52/12),0)))=0,0,(IF(AND(1&gt;IF('Ayarlar'!$B$7&lt;=0,99,ROUNDUP(MAX('Proje girdileri'!AC48,ROUNDUP('Proje girdileri'!AD48/'Ayarlar'!$B$7,0))/(52/12),0)),1&lt;='Ayarlar'!$B$6),IF('Proje girdileri'!AT48=0,MIN('Proje girdileri'!AH48,'Ayarlar'!$B$6-1+1),(1-POWER(1-'Proje girdileri'!AT48,MIN('Proje girdileri'!AH48,'Ayarlar'!$B$6-1+1)))/'Proje girdileri'!AT48),0)+IF(AND(2&gt;IF('Ayarlar'!$B$7&lt;=0,99,ROUNDUP(MAX('Proje girdileri'!AC48,ROUNDUP('Proje girdileri'!AD48/'Ayarlar'!$B$7,0))/(52/12),0)),2&lt;='Ayarlar'!$B$6),IF('Proje girdileri'!AT48=0,MIN('Proje girdileri'!AH48,'Ayarlar'!$B$6-2+1),(1-POWER(1-'Proje girdileri'!AT48,MIN('Proje girdileri'!AH48,'Ayarlar'!$B$6-2+1)))/'Proje girdileri'!AT48),0)+IF(AND(3&gt;IF('Ayarlar'!$B$7&lt;=0,99,ROUNDUP(MAX('Proje girdileri'!AC48,ROUNDUP('Proje girdileri'!AD48/'Ayarlar'!$B$7,0))/(52/12),0)),3&lt;='Ayarlar'!$B$6),IF('Proje girdileri'!AT48=0,MIN('Proje girdileri'!AH48,'Ayarlar'!$B$6-3+1),(1-POWER(1-'Proje girdileri'!AT48,MIN('Proje girdileri'!AH48,'Ayarlar'!$B$6-3+1)))/'Proje girdileri'!AT48),0)+IF(AND(4&gt;IF('Ayarlar'!$B$7&lt;=0,99,ROUNDUP(MAX('Proje girdileri'!AC48,ROUNDUP('Proje girdileri'!AD48/'Ayarlar'!$B$7,0))/(52/12),0)),4&lt;='Ayarlar'!$B$6),IF('Proje girdileri'!AT48=0,MIN('Proje girdileri'!AH48,'Ayarlar'!$B$6-4+1),(1-POWER(1-'Proje girdileri'!AT48,MIN('Proje girdileri'!AH48,'Ayarlar'!$B$6-4+1)))/'Proje girdileri'!AT48),0)+IF(AND(5&gt;IF('Ayarlar'!$B$7&lt;=0,99,ROUNDUP(MAX('Proje girdileri'!AC48,ROUNDUP('Proje girdileri'!AD48/'Ayarlar'!$B$7,0))/(52/12),0)),5&lt;='Ayarlar'!$B$6),IF('Proje girdileri'!AT48=0,MIN('Proje girdileri'!AH48,'Ayarlar'!$B$6-5+1),(1-POWER(1-'Proje girdileri'!AT48,MIN('Proje girdileri'!AH48,'Ayarlar'!$B$6-5+1)))/'Proje girdileri'!AT48),0)+IF(AND(6&gt;IF('Ayarlar'!$B$7&lt;=0,99,ROUNDUP(MAX('Proje girdileri'!AC48,ROUNDUP('Proje girdileri'!AD48/'Ayarlar'!$B$7,0))/(52/12),0)),6&lt;='Ayarlar'!$B$6),IF('Proje girdileri'!AT48=0,MIN('Proje girdileri'!AH48,'Ayarlar'!$B$6-6+1),(1-POWER(1-'Proje girdileri'!AT48,MIN('Proje girdileri'!AH48,'Ayarlar'!$B$6-6+1)))/'Proje girdileri'!AT48),0)+IF(AND(7&gt;IF('Ayarlar'!$B$7&lt;=0,99,ROUNDUP(MAX('Proje girdileri'!AC48,ROUNDUP('Proje girdileri'!AD48/'Ayarlar'!$B$7,0))/(52/12),0)),7&lt;='Ayarlar'!$B$6),IF('Proje girdileri'!AT48=0,MIN('Proje girdileri'!AH48,'Ayarlar'!$B$6-7+1),(1-POWER(1-'Proje girdileri'!AT48,MIN('Proje girdileri'!AH48,'Ayarlar'!$B$6-7+1)))/'Proje girdileri'!AT48),0)+IF(AND(8&gt;IF('Ayarlar'!$B$7&lt;=0,99,ROUNDUP(MAX('Proje girdileri'!AC48,ROUNDUP('Proje girdileri'!AD48/'Ayarlar'!$B$7,0))/(52/12),0)),8&lt;='Ayarlar'!$B$6),IF('Proje girdileri'!AT48=0,MIN('Proje girdileri'!AH48,'Ayarlar'!$B$6-8+1),(1-POWER(1-'Proje girdileri'!AT48,MIN('Proje girdileri'!AH48,'Ayarlar'!$B$6-8+1)))/'Proje girdileri'!AT48),0)+IF(AND(9&gt;IF('Ayarlar'!$B$7&lt;=0,99,ROUNDUP(MAX('Proje girdileri'!AC48,ROUNDUP('Proje girdileri'!AD48/'Ayarlar'!$B$7,0))/(52/12),0)),9&lt;='Ayarlar'!$B$6),IF('Proje girdileri'!AT48=0,MIN('Proje girdileri'!AH48,'Ayarlar'!$B$6-9+1),(1-POWER(1-'Proje girdileri'!AT48,MIN('Proje girdileri'!AH48,'Ayarlar'!$B$6-9+1)))/'Proje girdileri'!AT48),0)+IF(AND(10&gt;IF('Ayarlar'!$B$7&lt;=0,99,ROUNDUP(MAX('Proje girdileri'!AC48,ROUNDUP('Proje girdileri'!AD48/'Ayarlar'!$B$7,0))/(52/12),0)),10&lt;='Ayarlar'!$B$6),IF('Proje girdileri'!AT48=0,MIN('Proje girdileri'!AH48,'Ayarlar'!$B$6-10+1),(1-POWER(1-'Proje girdileri'!AT48,MIN('Proje girdileri'!AH48,'Ayarlar'!$B$6-10+1)))/'Proje girdileri'!AT48),0)+IF(AND(11&gt;IF('Ayarlar'!$B$7&lt;=0,99,ROUNDUP(MAX('Proje girdileri'!AC48,ROUNDUP('Proje girdileri'!AD48/'Ayarlar'!$B$7,0))/(52/12),0)),11&lt;='Ayarlar'!$B$6),IF('Proje girdileri'!AT48=0,MIN('Proje girdileri'!AH48,'Ayarlar'!$B$6-11+1),(1-POWER(1-'Proje girdileri'!AT48,MIN('Proje girdileri'!AH48,'Ayarlar'!$B$6-11+1)))/'Proje girdileri'!AT48),0)+IF(AND(12&gt;IF('Ayarlar'!$B$7&lt;=0,99,ROUNDUP(MAX('Proje girdileri'!AC48,ROUNDUP('Proje girdileri'!AD48/'Ayarlar'!$B$7,0))/(52/12),0)),12&lt;='Ayarlar'!$B$6),IF('Proje girdileri'!AT48=0,MIN('Proje girdileri'!AH48,'Ayarlar'!$B$6-12+1),(1-POWER(1-'Proje girdileri'!AT48,MIN('Proje girdileri'!AH48,'Ayarlar'!$B$6-12+1)))/'Proje girdileri'!AT48),0))/MAX(0,'Ayarlar'!$B$6-IF('Ayarlar'!$B$7&lt;=0,99,ROUNDUP(MAX('Proje girdileri'!AC48,ROUNDUP('Proje girdileri'!AD48/'Ayarlar'!$B$7,0))/(52/12),0)))),1))</x:f>
        <x:v>1</x:v>
      </x:c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 t="str">
        <x:f>'Proje girdileri'!A49</x:f>
        <x:v>Aile-45</x:v>
      </x:c>
      <x:c r="B49" s="2" t="str">
        <x:f>'Proje girdileri'!B49</x:f>
        <x:v>WP Türkiye dar niş</x:v>
      </x:c>
      <x:c r="C49" s="2" t="str">
        <x:f>IF(OR(COUNT('Proje girdileri'!D49:H49)&lt;&gt;5,MIN('Proje girdileri'!D49:H49)&lt;0,MAX('Proje girdileri'!D49:H49)&gt;2),"Yalnız deney",IF(MIN('Proje girdileri'!D49:H49)=0,"Kapsam/engel",IF(MIN('Proje girdileri'!D49:H49)=1,"Yalnız deney","Geçti")))</x:f>
        <x:v>Yalnız deney</x:v>
      </x:c>
      <x:c r="D49" s="23" t="n">
        <x:f>IF(AND(COUNT('Proje girdileri'!I49:X49)=16,MIN('Proje girdileri'!I49:X49)&gt;=0,MAX('Proje girdileri'!I49:X49)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girdileri'!I49:X49,'Proje girdileri'!$I$2:$X$2)/5*100,"n.a.")</x:f>
        <x:v>44.00000000000001</x:v>
      </x:c>
      <x:c r="E49" s="23" t="n">
        <x:f>IF(AND(COUNT('Proje girdileri'!I49:X49)=16,MIN('Proje girdileri'!I49:X49)&gt;=0,MAX('Proje girdileri'!I49:X49)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girdileri'!I49:X49,'Proje girdileri'!$I$3:$X$3)/5*100,"n.a.")</x:f>
        <x:v>44.3</x:v>
      </x:c>
      <x:c r="F49" s="2" t="n">
        <x:f>IF(OR(COUNT('Ayarlar'!$B$5:$B$9)&lt;&gt;5,MIN('Ayarlar'!$B$5:$B$7)&lt;=0,MIN('Ayarlar'!$B$8:$B$9)&lt;0,NOT(ISNUMBER(H49)),H49&lt;=0),"n.a.",ROUNDUP(('Ayarlar'!$B$5+'Proje girdileri'!AI49+'Ayarlar'!$B$6*'Proje girdileri'!AJ49)/H49,0))</x:f>
        <x:v>147</x:v>
      </x:c>
      <x:c r="G49" s="2" t="n">
        <x:f>IF(OR('Proje girdileri'!C49="internal",'Proje girdileri'!AE49+'Proje girdileri'!AF49+'Proje girdileri'!AG49*U49&lt;=0),0,MAX(0,ROUNDDOWN((MIN(T49*'Ayarlar'!$B$7,'Ayarlar'!$B$6*52/12*'Ayarlar'!$B$7-'Proje girdileri'!AD49)-T49*'Proje girdileri'!AK49)/('Proje girdileri'!AE49+'Proje girdileri'!AF49+'Proje girdileri'!AG49*U49),0)))</x:f>
        <x:v>6</x:v>
      </x:c>
      <x:c r="H49" s="24" t="n">
        <x:f>IF(COUNT('Proje girdileri'!Y49:AL49)&lt;&gt;14,"n.a.",('Proje girdileri'!Y49*(1-'Proje girdileri'!AA49-'Proje girdileri'!AB49)-'Proje girdileri'!Z49)*U49)</x:f>
        <x:v>22.97000000000002</x:v>
      </x:c>
      <x:c r="I49" s="24" t="n">
        <x:f>IF(ISNUMBER(H49),IF(H49&gt;0,MIN('Proje girdileri'!AL49,G49),0),"n.a.")</x:f>
        <x:v>6</x:v>
      </x:c>
      <x:c r="J49" s="24" t="n">
        <x:f>IF(ISNUMBER(H49),I49*H49-'Proje girdileri'!AI49-'Ayarlar'!$B$6*'Proje girdileri'!AJ49,"n.a.")</x:f>
        <x:v>-232.1799999999999</x:v>
      </x:c>
      <x:c r="K49" s="23" t="n">
        <x:f>IF(ISNUMBER(I49),'Proje girdileri'!AD49+T49*'Proje girdileri'!AK49+I49*('Proje girdileri'!AE49+'Proje girdileri'!AF49+'Proje girdileri'!AG49*U49),"n.a.")</x:f>
        <x:v>127.30000000000001</x:v>
      </x:c>
      <x:c r="L49" s="23" t="n">
        <x:f>IF(ISNUMBER(J49),J49-K49*'Ayarlar'!$B$9,"n.a.")</x:f>
        <x:v>-3414.6800000000003</x:v>
      </x:c>
      <x:c r="M49" s="23" t="n">
        <x:f>IF(AND(ISNUMBER(K49),'Ayarlar'!$B$6&gt;0),K49/('Ayarlar'!$B$6*52/12),"n.a.")</x:f>
        <x:v>4.8961538461538465</x:v>
      </x:c>
      <x:c r="N49" s="2" t="str">
        <x:f>IF('Proje girdileri'!AI49&lt;='Ayarlar'!$B$8,"Sığar","Aşar")</x:f>
        <x:v>Sığar</x:v>
      </x:c>
      <x:c r="O49" s="2" t="str">
        <x:f>IF(ISNUMBER(F49),IF(F49&lt;=G49,"Sığar","Aşar"),"n.a.")</x:f>
        <x:v>Aşar</x:v>
      </x:c>
      <x:c r="P49" s="2" t="n">
        <x:f>IF(OR(C49="Kapsam/engel",NOT(ISNUMBER(D49))),"n.a.",COUNTIFS($D$5:$D$50,"&gt;"&amp;D49,$C$5:$C$50,"&lt;&gt;Kapsam/engel")+COUNTIFS($D$5:D49,D49,$C$5:C49,"&lt;&gt;Kapsam/engel"))</x:f>
        <x:v>34</x:v>
      </x:c>
      <x:c r="Q49" s="2" t="n">
        <x:f>IF(OR(C49="Kapsam/engel",NOT(ISNUMBER(E49))),"n.a.",COUNTIFS($E$5:$E$50,"&gt;"&amp;E49,$C$5:$C$50,"&lt;&gt;Kapsam/engel")+COUNTIFS($E$5:E49,E49,$C$5:C49,"&lt;&gt;Kapsam/engel"))</x:f>
        <x:v>32</x:v>
      </x:c>
      <x:c r="R49" s="2" t="str">
        <x:f>IF(AND(C49="Geçti",N49="Sığar",O49="Sığar"),COUNTIFS($D$5:$D$50,"&gt;"&amp;D49,$C$5:$C$50,"Geçti",$N$5:$N$50,"Sığar",$O$5:$O$50,"Sığar")+COUNTIFS($D$5:D49,D49,$C$5:C49,"Geçti",$N$5:N49,"Sığar",$O$5:O49,"Sığar"),"n.a.")</x:f>
        <x:v>n.a.</x:v>
      </x:c>
      <x:c r="S49" s="24" t="n">
        <x:f>IF(ISNUMBER(J49),J49-MAX(0,J49)*'Ayarlar'!$B$10,"n.a.")</x:f>
        <x:v>-232.1799999999999</x:v>
      </x:c>
      <x:c r="T49" s="2" t="n">
        <x:f>IF('Ayarlar'!$B$7&lt;=0,0,MAX(0,'Ayarlar'!$B$6*52/12-MAX('Proje girdileri'!AC49,ROUNDUP('Proje girdileri'!AD49/'Ayarlar'!$B$7,0))))</x:f>
        <x:v>6</x:v>
      </x:c>
      <x:c r="U49" s="2" t="n">
        <x:f>IF(T49=0,0,IF('Proje girdileri'!C49="recurring",IF(MAX(0,'Ayarlar'!$B$6-IF('Ayarlar'!$B$7&lt;=0,99,ROUNDUP(MAX('Proje girdileri'!AC49,ROUNDUP('Proje girdileri'!AD49/'Ayarlar'!$B$7,0))/(52/12),0)))=0,0,(IF(AND(1&gt;IF('Ayarlar'!$B$7&lt;=0,99,ROUNDUP(MAX('Proje girdileri'!AC49,ROUNDUP('Proje girdileri'!AD49/'Ayarlar'!$B$7,0))/(52/12),0)),1&lt;='Ayarlar'!$B$6),IF('Proje girdileri'!AT49=0,MIN('Proje girdileri'!AH49,'Ayarlar'!$B$6-1+1),(1-POWER(1-'Proje girdileri'!AT49,MIN('Proje girdileri'!AH49,'Ayarlar'!$B$6-1+1)))/'Proje girdileri'!AT49),0)+IF(AND(2&gt;IF('Ayarlar'!$B$7&lt;=0,99,ROUNDUP(MAX('Proje girdileri'!AC49,ROUNDUP('Proje girdileri'!AD49/'Ayarlar'!$B$7,0))/(52/12),0)),2&lt;='Ayarlar'!$B$6),IF('Proje girdileri'!AT49=0,MIN('Proje girdileri'!AH49,'Ayarlar'!$B$6-2+1),(1-POWER(1-'Proje girdileri'!AT49,MIN('Proje girdileri'!AH49,'Ayarlar'!$B$6-2+1)))/'Proje girdileri'!AT49),0)+IF(AND(3&gt;IF('Ayarlar'!$B$7&lt;=0,99,ROUNDUP(MAX('Proje girdileri'!AC49,ROUNDUP('Proje girdileri'!AD49/'Ayarlar'!$B$7,0))/(52/12),0)),3&lt;='Ayarlar'!$B$6),IF('Proje girdileri'!AT49=0,MIN('Proje girdileri'!AH49,'Ayarlar'!$B$6-3+1),(1-POWER(1-'Proje girdileri'!AT49,MIN('Proje girdileri'!AH49,'Ayarlar'!$B$6-3+1)))/'Proje girdileri'!AT49),0)+IF(AND(4&gt;IF('Ayarlar'!$B$7&lt;=0,99,ROUNDUP(MAX('Proje girdileri'!AC49,ROUNDUP('Proje girdileri'!AD49/'Ayarlar'!$B$7,0))/(52/12),0)),4&lt;='Ayarlar'!$B$6),IF('Proje girdileri'!AT49=0,MIN('Proje girdileri'!AH49,'Ayarlar'!$B$6-4+1),(1-POWER(1-'Proje girdileri'!AT49,MIN('Proje girdileri'!AH49,'Ayarlar'!$B$6-4+1)))/'Proje girdileri'!AT49),0)+IF(AND(5&gt;IF('Ayarlar'!$B$7&lt;=0,99,ROUNDUP(MAX('Proje girdileri'!AC49,ROUNDUP('Proje girdileri'!AD49/'Ayarlar'!$B$7,0))/(52/12),0)),5&lt;='Ayarlar'!$B$6),IF('Proje girdileri'!AT49=0,MIN('Proje girdileri'!AH49,'Ayarlar'!$B$6-5+1),(1-POWER(1-'Proje girdileri'!AT49,MIN('Proje girdileri'!AH49,'Ayarlar'!$B$6-5+1)))/'Proje girdileri'!AT49),0)+IF(AND(6&gt;IF('Ayarlar'!$B$7&lt;=0,99,ROUNDUP(MAX('Proje girdileri'!AC49,ROUNDUP('Proje girdileri'!AD49/'Ayarlar'!$B$7,0))/(52/12),0)),6&lt;='Ayarlar'!$B$6),IF('Proje girdileri'!AT49=0,MIN('Proje girdileri'!AH49,'Ayarlar'!$B$6-6+1),(1-POWER(1-'Proje girdileri'!AT49,MIN('Proje girdileri'!AH49,'Ayarlar'!$B$6-6+1)))/'Proje girdileri'!AT49),0)+IF(AND(7&gt;IF('Ayarlar'!$B$7&lt;=0,99,ROUNDUP(MAX('Proje girdileri'!AC49,ROUNDUP('Proje girdileri'!AD49/'Ayarlar'!$B$7,0))/(52/12),0)),7&lt;='Ayarlar'!$B$6),IF('Proje girdileri'!AT49=0,MIN('Proje girdileri'!AH49,'Ayarlar'!$B$6-7+1),(1-POWER(1-'Proje girdileri'!AT49,MIN('Proje girdileri'!AH49,'Ayarlar'!$B$6-7+1)))/'Proje girdileri'!AT49),0)+IF(AND(8&gt;IF('Ayarlar'!$B$7&lt;=0,99,ROUNDUP(MAX('Proje girdileri'!AC49,ROUNDUP('Proje girdileri'!AD49/'Ayarlar'!$B$7,0))/(52/12),0)),8&lt;='Ayarlar'!$B$6),IF('Proje girdileri'!AT49=0,MIN('Proje girdileri'!AH49,'Ayarlar'!$B$6-8+1),(1-POWER(1-'Proje girdileri'!AT49,MIN('Proje girdileri'!AH49,'Ayarlar'!$B$6-8+1)))/'Proje girdileri'!AT49),0)+IF(AND(9&gt;IF('Ayarlar'!$B$7&lt;=0,99,ROUNDUP(MAX('Proje girdileri'!AC49,ROUNDUP('Proje girdileri'!AD49/'Ayarlar'!$B$7,0))/(52/12),0)),9&lt;='Ayarlar'!$B$6),IF('Proje girdileri'!AT49=0,MIN('Proje girdileri'!AH49,'Ayarlar'!$B$6-9+1),(1-POWER(1-'Proje girdileri'!AT49,MIN('Proje girdileri'!AH49,'Ayarlar'!$B$6-9+1)))/'Proje girdileri'!AT49),0)+IF(AND(10&gt;IF('Ayarlar'!$B$7&lt;=0,99,ROUNDUP(MAX('Proje girdileri'!AC49,ROUNDUP('Proje girdileri'!AD49/'Ayarlar'!$B$7,0))/(52/12),0)),10&lt;='Ayarlar'!$B$6),IF('Proje girdileri'!AT49=0,MIN('Proje girdileri'!AH49,'Ayarlar'!$B$6-10+1),(1-POWER(1-'Proje girdileri'!AT49,MIN('Proje girdileri'!AH49,'Ayarlar'!$B$6-10+1)))/'Proje girdileri'!AT49),0)+IF(AND(11&gt;IF('Ayarlar'!$B$7&lt;=0,99,ROUNDUP(MAX('Proje girdileri'!AC49,ROUNDUP('Proje girdileri'!AD49/'Ayarlar'!$B$7,0))/(52/12),0)),11&lt;='Ayarlar'!$B$6),IF('Proje girdileri'!AT49=0,MIN('Proje girdileri'!AH49,'Ayarlar'!$B$6-11+1),(1-POWER(1-'Proje girdileri'!AT49,MIN('Proje girdileri'!AH49,'Ayarlar'!$B$6-11+1)))/'Proje girdileri'!AT49),0)+IF(AND(12&gt;IF('Ayarlar'!$B$7&lt;=0,99,ROUNDUP(MAX('Proje girdileri'!AC49,ROUNDUP('Proje girdileri'!AD49/'Ayarlar'!$B$7,0))/(52/12),0)),12&lt;='Ayarlar'!$B$6),IF('Proje girdileri'!AT49=0,MIN('Proje girdileri'!AH49,'Ayarlar'!$B$6-12+1),(1-POWER(1-'Proje girdileri'!AT49,MIN('Proje girdileri'!AH49,'Ayarlar'!$B$6-12+1)))/'Proje girdileri'!AT49),0))/MAX(0,'Ayarlar'!$B$6-IF('Ayarlar'!$B$7&lt;=0,99,ROUNDUP(MAX('Proje girdileri'!AC49,ROUNDUP('Proje girdileri'!AD49/'Ayarlar'!$B$7,0))/(52/12),0)))),1))</x:f>
        <x:v>1.0000000000000009</x:v>
      </x:c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 t="str">
        <x:f>'Proje girdileri'!A50</x:f>
        <x:v>Aile-46</x:v>
      </x:c>
      <x:c r="B50" s="2" t="str">
        <x:f>'Proje girdileri'!B50</x:f>
        <x:v>Zabuno ana restoran ürünü</x:v>
      </x:c>
      <x:c r="C50" s="2" t="str">
        <x:f>IF(OR(COUNT('Proje girdileri'!D50:H50)&lt;&gt;5,MIN('Proje girdileri'!D50:H50)&lt;0,MAX('Proje girdileri'!D50:H50)&gt;2),"Yalnız deney",IF(MIN('Proje girdileri'!D50:H50)=0,"Kapsam/engel",IF(MIN('Proje girdileri'!D50:H50)=1,"Yalnız deney","Geçti")))</x:f>
        <x:v>Yalnız deney</x:v>
      </x:c>
      <x:c r="D50" s="23" t="n">
        <x:f>IF(AND(COUNT('Proje girdileri'!I50:X50)=16,MIN('Proje girdileri'!I50:X50)&gt;=0,MAX('Proje girdileri'!I50:X50)&lt;=5,COUNT('Kriterler'!$D$5:$D$20)=16,MIN('Kriterler'!$D$5:$D$20)&gt;=0,MIN('Kriterler'!$B$27:$B$32)&gt;0.99999,MAX('Kriterler'!$B$27:$B$32)&lt;1.00001,COUNT('Ayarlar'!$B$14:$B$19)=6,MIN('Ayarlar'!$B$14:$B$19)&gt;=0,ABS('Ayarlar'!$B$21-1)&lt;0.00001),SUMPRODUCT('Proje girdileri'!I50:X50,'Proje girdileri'!$I$2:$X$2)/5*100,"n.a.")</x:f>
        <x:v>46.400000000000006</x:v>
      </x:c>
      <x:c r="E50" s="23" t="n">
        <x:f>IF(AND(COUNT('Proje girdileri'!I50:X50)=16,MIN('Proje girdileri'!I50:X50)&gt;=0,MAX('Proje girdileri'!I50:X50)&lt;=5,COUNT('Kriterler'!$D$5:$D$20)=16,MIN('Kriterler'!$D$5:$D$20)&gt;=0,MIN('Kriterler'!$B$27:$B$32)&gt;0.99999,MAX('Kriterler'!$B$27:$B$32)&lt;1.00001,COUNT('Ayarlar'!$C$14:$C$19)=6,MIN('Ayarlar'!$C$14:$C$19)&gt;=0,ABS('Ayarlar'!$C$21-1)&lt;0.00001),SUMPRODUCT('Proje girdileri'!I50:X50,'Proje girdileri'!$I$3:$X$3)/5*100,"n.a.")</x:f>
        <x:v>44.500000000000014</x:v>
      </x:c>
      <x:c r="F50" s="2" t="n">
        <x:f>IF(OR(COUNT('Ayarlar'!$B$5:$B$9)&lt;&gt;5,MIN('Ayarlar'!$B$5:$B$7)&lt;=0,MIN('Ayarlar'!$B$8:$B$9)&lt;0,NOT(ISNUMBER(H50)),H50&lt;=0),"n.a.",ROUNDUP(('Ayarlar'!$B$5+'Proje girdileri'!AI50+'Ayarlar'!$B$6*'Proje girdileri'!AJ50)/H50,0))</x:f>
        <x:v>74</x:v>
      </x:c>
      <x:c r="G50" s="2" t="n">
        <x:f>IF(OR('Proje girdileri'!C50="internal",'Proje girdileri'!AE50+'Proje girdileri'!AF50+'Proje girdileri'!AG50*U50&lt;=0),0,MAX(0,ROUNDDOWN((MIN(T50*'Ayarlar'!$B$7,'Ayarlar'!$B$6*52/12*'Ayarlar'!$B$7-'Proje girdileri'!AD50)-T50*'Proje girdileri'!AK50)/('Proje girdileri'!AE50+'Proje girdileri'!AF50+'Proje girdileri'!AG50*U50),0)))</x:f>
        <x:v>13</x:v>
      </x:c>
      <x:c r="H50" s="24" t="n">
        <x:f>IF(COUNT('Proje girdileri'!Y50:AL50)&lt;&gt;14,"n.a.",('Proje girdileri'!Y50*(1-'Proje girdileri'!AA50-'Proje girdileri'!AB50)-'Proje girdileri'!Z50)*U50)</x:f>
        <x:v>46.12325000000002</x:v>
      </x:c>
      <x:c r="I50" s="24" t="n">
        <x:f>IF(ISNUMBER(H50),IF(H50&gt;0,MIN('Proje girdileri'!AL50,G50),0),"n.a.")</x:f>
        <x:v>8</x:v>
      </x:c>
      <x:c r="J50" s="24" t="n">
        <x:f>IF(ISNUMBER(H50),I50*H50-'Proje girdileri'!AI50-'Ayarlar'!$B$6*'Proje girdileri'!AJ50,"n.a.")</x:f>
        <x:v>-1.0139999999998395</x:v>
      </x:c>
      <x:c r="K50" s="23" t="n">
        <x:f>IF(ISNUMBER(I50),'Proje girdileri'!AD50+T50*'Proje girdileri'!AK50+I50*('Proje girdileri'!AE50+'Proje girdileri'!AF50+'Proje girdileri'!AG50*U50),"n.a.")</x:f>
        <x:v>108.9</x:v>
      </x:c>
      <x:c r="L50" s="23" t="n">
        <x:f>IF(ISNUMBER(J50),J50-K50*'Ayarlar'!$B$9,"n.a.")</x:f>
        <x:v>-2723.5139999999997</x:v>
      </x:c>
      <x:c r="M50" s="23" t="n">
        <x:f>IF(AND(ISNUMBER(K50),'Ayarlar'!$B$6&gt;0),K50/('Ayarlar'!$B$6*52/12),"n.a.")</x:f>
        <x:v>4.188461538461539</x:v>
      </x:c>
      <x:c r="N50" s="2" t="str">
        <x:f>IF('Proje girdileri'!AI50&lt;='Ayarlar'!$B$8,"Sığar","Aşar")</x:f>
        <x:v>Sığar</x:v>
      </x:c>
      <x:c r="O50" s="2" t="str">
        <x:f>IF(ISNUMBER(F50),IF(F50&lt;=G50,"Sığar","Aşar"),"n.a.")</x:f>
        <x:v>Aşar</x:v>
      </x:c>
      <x:c r="P50" s="2" t="n">
        <x:f>IF(OR(C50="Kapsam/engel",NOT(ISNUMBER(D50))),"n.a.",COUNTIFS($D$5:$D$50,"&gt;"&amp;D50,$C$5:$C$50,"&lt;&gt;Kapsam/engel")+COUNTIFS($D$5:D50,D50,$C$5:C50,"&lt;&gt;Kapsam/engel"))</x:f>
        <x:v>28</x:v>
      </x:c>
      <x:c r="Q50" s="2" t="n">
        <x:f>IF(OR(C50="Kapsam/engel",NOT(ISNUMBER(E50))),"n.a.",COUNTIFS($E$5:$E$50,"&gt;"&amp;E50,$C$5:$C$50,"&lt;&gt;Kapsam/engel")+COUNTIFS($E$5:E50,E50,$C$5:C50,"&lt;&gt;Kapsam/engel"))</x:f>
        <x:v>31</x:v>
      </x:c>
      <x:c r="R50" s="2" t="str">
        <x:f>IF(AND(C50="Geçti",N50="Sığar",O50="Sığar"),COUNTIFS($D$5:$D$50,"&gt;"&amp;D50,$C$5:$C$50,"Geçti",$N$5:$N$50,"Sığar",$O$5:$O$50,"Sığar")+COUNTIFS($D$5:D50,D50,$C$5:C50,"Geçti",$N$5:N50,"Sığar",$O$5:O50,"Sığar"),"n.a.")</x:f>
        <x:v>n.a.</x:v>
      </x:c>
      <x:c r="S50" s="24" t="n">
        <x:f>IF(ISNUMBER(J50),J50-MAX(0,J50)*'Ayarlar'!$B$10,"n.a.")</x:f>
        <x:v>-1.0139999999998395</x:v>
      </x:c>
      <x:c r="T50" s="2" t="n">
        <x:f>IF('Ayarlar'!$B$7&lt;=0,0,MAX(0,'Ayarlar'!$B$6*52/12-MAX('Proje girdileri'!AC50,ROUNDUP('Proje girdileri'!AD50/'Ayarlar'!$B$7,0))))</x:f>
        <x:v>12</x:v>
      </x:c>
      <x:c r="U50" s="2" t="n">
        <x:f>IF(T50=0,0,IF('Proje girdileri'!C50="recurring",IF(MAX(0,'Ayarlar'!$B$6-IF('Ayarlar'!$B$7&lt;=0,99,ROUNDUP(MAX('Proje girdileri'!AC50,ROUNDUP('Proje girdileri'!AD50/'Ayarlar'!$B$7,0))/(52/12),0)))=0,0,(IF(AND(1&gt;IF('Ayarlar'!$B$7&lt;=0,99,ROUNDUP(MAX('Proje girdileri'!AC50,ROUNDUP('Proje girdileri'!AD50/'Ayarlar'!$B$7,0))/(52/12),0)),1&lt;='Ayarlar'!$B$6),IF('Proje girdileri'!AT50=0,MIN('Proje girdileri'!AH50,'Ayarlar'!$B$6-1+1),(1-POWER(1-'Proje girdileri'!AT50,MIN('Proje girdileri'!AH50,'Ayarlar'!$B$6-1+1)))/'Proje girdileri'!AT50),0)+IF(AND(2&gt;IF('Ayarlar'!$B$7&lt;=0,99,ROUNDUP(MAX('Proje girdileri'!AC50,ROUNDUP('Proje girdileri'!AD50/'Ayarlar'!$B$7,0))/(52/12),0)),2&lt;='Ayarlar'!$B$6),IF('Proje girdileri'!AT50=0,MIN('Proje girdileri'!AH50,'Ayarlar'!$B$6-2+1),(1-POWER(1-'Proje girdileri'!AT50,MIN('Proje girdileri'!AH50,'Ayarlar'!$B$6-2+1)))/'Proje girdileri'!AT50),0)+IF(AND(3&gt;IF('Ayarlar'!$B$7&lt;=0,99,ROUNDUP(MAX('Proje girdileri'!AC50,ROUNDUP('Proje girdileri'!AD50/'Ayarlar'!$B$7,0))/(52/12),0)),3&lt;='Ayarlar'!$B$6),IF('Proje girdileri'!AT50=0,MIN('Proje girdileri'!AH50,'Ayarlar'!$B$6-3+1),(1-POWER(1-'Proje girdileri'!AT50,MIN('Proje girdileri'!AH50,'Ayarlar'!$B$6-3+1)))/'Proje girdileri'!AT50),0)+IF(AND(4&gt;IF('Ayarlar'!$B$7&lt;=0,99,ROUNDUP(MAX('Proje girdileri'!AC50,ROUNDUP('Proje girdileri'!AD50/'Ayarlar'!$B$7,0))/(52/12),0)),4&lt;='Ayarlar'!$B$6),IF('Proje girdileri'!AT50=0,MIN('Proje girdileri'!AH50,'Ayarlar'!$B$6-4+1),(1-POWER(1-'Proje girdileri'!AT50,MIN('Proje girdileri'!AH50,'Ayarlar'!$B$6-4+1)))/'Proje girdileri'!AT50),0)+IF(AND(5&gt;IF('Ayarlar'!$B$7&lt;=0,99,ROUNDUP(MAX('Proje girdileri'!AC50,ROUNDUP('Proje girdileri'!AD50/'Ayarlar'!$B$7,0))/(52/12),0)),5&lt;='Ayarlar'!$B$6),IF('Proje girdileri'!AT50=0,MIN('Proje girdileri'!AH50,'Ayarlar'!$B$6-5+1),(1-POWER(1-'Proje girdileri'!AT50,MIN('Proje girdileri'!AH50,'Ayarlar'!$B$6-5+1)))/'Proje girdileri'!AT50),0)+IF(AND(6&gt;IF('Ayarlar'!$B$7&lt;=0,99,ROUNDUP(MAX('Proje girdileri'!AC50,ROUNDUP('Proje girdileri'!AD50/'Ayarlar'!$B$7,0))/(52/12),0)),6&lt;='Ayarlar'!$B$6),IF('Proje girdileri'!AT50=0,MIN('Proje girdileri'!AH50,'Ayarlar'!$B$6-6+1),(1-POWER(1-'Proje girdileri'!AT50,MIN('Proje girdileri'!AH50,'Ayarlar'!$B$6-6+1)))/'Proje girdileri'!AT50),0)+IF(AND(7&gt;IF('Ayarlar'!$B$7&lt;=0,99,ROUNDUP(MAX('Proje girdileri'!AC50,ROUNDUP('Proje girdileri'!AD50/'Ayarlar'!$B$7,0))/(52/12),0)),7&lt;='Ayarlar'!$B$6),IF('Proje girdileri'!AT50=0,MIN('Proje girdileri'!AH50,'Ayarlar'!$B$6-7+1),(1-POWER(1-'Proje girdileri'!AT50,MIN('Proje girdileri'!AH50,'Ayarlar'!$B$6-7+1)))/'Proje girdileri'!AT50),0)+IF(AND(8&gt;IF('Ayarlar'!$B$7&lt;=0,99,ROUNDUP(MAX('Proje girdileri'!AC50,ROUNDUP('Proje girdileri'!AD50/'Ayarlar'!$B$7,0))/(52/12),0)),8&lt;='Ayarlar'!$B$6),IF('Proje girdileri'!AT50=0,MIN('Proje girdileri'!AH50,'Ayarlar'!$B$6-8+1),(1-POWER(1-'Proje girdileri'!AT50,MIN('Proje girdileri'!AH50,'Ayarlar'!$B$6-8+1)))/'Proje girdileri'!AT50),0)+IF(AND(9&gt;IF('Ayarlar'!$B$7&lt;=0,99,ROUNDUP(MAX('Proje girdileri'!AC50,ROUNDUP('Proje girdileri'!AD50/'Ayarlar'!$B$7,0))/(52/12),0)),9&lt;='Ayarlar'!$B$6),IF('Proje girdileri'!AT50=0,MIN('Proje girdileri'!AH50,'Ayarlar'!$B$6-9+1),(1-POWER(1-'Proje girdileri'!AT50,MIN('Proje girdileri'!AH50,'Ayarlar'!$B$6-9+1)))/'Proje girdileri'!AT50),0)+IF(AND(10&gt;IF('Ayarlar'!$B$7&lt;=0,99,ROUNDUP(MAX('Proje girdileri'!AC50,ROUNDUP('Proje girdileri'!AD50/'Ayarlar'!$B$7,0))/(52/12),0)),10&lt;='Ayarlar'!$B$6),IF('Proje girdileri'!AT50=0,MIN('Proje girdileri'!AH50,'Ayarlar'!$B$6-10+1),(1-POWER(1-'Proje girdileri'!AT50,MIN('Proje girdileri'!AH50,'Ayarlar'!$B$6-10+1)))/'Proje girdileri'!AT50),0)+IF(AND(11&gt;IF('Ayarlar'!$B$7&lt;=0,99,ROUNDUP(MAX('Proje girdileri'!AC50,ROUNDUP('Proje girdileri'!AD50/'Ayarlar'!$B$7,0))/(52/12),0)),11&lt;='Ayarlar'!$B$6),IF('Proje girdileri'!AT50=0,MIN('Proje girdileri'!AH50,'Ayarlar'!$B$6-11+1),(1-POWER(1-'Proje girdileri'!AT50,MIN('Proje girdileri'!AH50,'Ayarlar'!$B$6-11+1)))/'Proje girdileri'!AT50),0)+IF(AND(12&gt;IF('Ayarlar'!$B$7&lt;=0,99,ROUNDUP(MAX('Proje girdileri'!AC50,ROUNDUP('Proje girdileri'!AD50/'Ayarlar'!$B$7,0))/(52/12),0)),12&lt;='Ayarlar'!$B$6),IF('Proje girdileri'!AT50=0,MIN('Proje girdileri'!AH50,'Ayarlar'!$B$6-12+1),(1-POWER(1-'Proje girdileri'!AT50,MIN('Proje girdileri'!AH50,'Ayarlar'!$B$6-12+1)))/'Proje girdileri'!AT50),0))/MAX(0,'Ayarlar'!$B$6-IF('Ayarlar'!$B$7&lt;=0,99,ROUNDUP(MAX('Proje girdileri'!AC50,ROUNDUP('Proje girdileri'!AD50/'Ayarlar'!$B$7,0))/(52/12),0)))),1))</x:f>
        <x:v>1.4750000000000008</x:v>
      </x:c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AA8B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50" hidden="0" customWidth="1"/>
    <x:col min="40" max="40" width="50" hidden="0" customWidth="1"/>
    <x:col min="41" max="41" width="50" hidden="0" customWidth="1"/>
    <x:col min="42" max="42" width="50" hidden="0" customWidth="1"/>
    <x:col min="43" max="43" width="50" hidden="0" customWidth="1"/>
    <x:col min="44" max="44" width="50" hidden="0" customWidth="1"/>
    <x:col min="45" max="45" width="5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Proje ve teklif varsayımları</x:v>
      </x:c>
      <x:c r="B2" s="2"/>
      <x:c r="C2" s="2"/>
      <x:c r="D2" s="2"/>
      <x:c r="E2" s="2"/>
      <x:c r="F2" s="2"/>
      <x:c r="G2" s="2"/>
      <x:c r="H2" s="2"/>
      <x:c r="I2" s="2" t="n">
        <x:f>'Kriterler'!E5</x:f>
        <x:v>0.1</x:v>
      </x:c>
      <x:c r="J2" s="2" t="n">
        <x:f>'Kriterler'!E6</x:f>
        <x:v>0.075</x:v>
      </x:c>
      <x:c r="K2" s="2" t="n">
        <x:f>'Kriterler'!E7</x:f>
        <x:v>0.075</x:v>
      </x:c>
      <x:c r="L2" s="2" t="n">
        <x:f>'Kriterler'!E8</x:f>
        <x:v>0.09</x:v>
      </x:c>
      <x:c r="M2" s="2" t="n">
        <x:f>'Kriterler'!E9</x:f>
        <x:v>0.12</x:v>
      </x:c>
      <x:c r="N2" s="2" t="n">
        <x:f>'Kriterler'!E10</x:f>
        <x:v>0.09</x:v>
      </x:c>
      <x:c r="O2" s="2" t="n">
        <x:f>'Kriterler'!E11</x:f>
        <x:v>0.08000000000000002</x:v>
      </x:c>
      <x:c r="P2" s="2" t="n">
        <x:f>'Kriterler'!E12</x:f>
        <x:v>0.04000000000000001</x:v>
      </x:c>
      <x:c r="Q2" s="2" t="n">
        <x:f>'Kriterler'!E13</x:f>
        <x:v>0.08000000000000002</x:v>
      </x:c>
      <x:c r="R2" s="2" t="n">
        <x:f>'Kriterler'!E14</x:f>
        <x:v>0.03</x:v>
      </x:c>
      <x:c r="S2" s="2" t="n">
        <x:f>'Kriterler'!E15</x:f>
        <x:v>0.04000000000000001</x:v>
      </x:c>
      <x:c r="T2" s="2" t="n">
        <x:f>'Kriterler'!E16</x:f>
        <x:v>0.03</x:v>
      </x:c>
      <x:c r="U2" s="2" t="n">
        <x:f>'Kriterler'!E17</x:f>
        <x:v>0.06</x:v>
      </x:c>
      <x:c r="V2" s="2" t="n">
        <x:f>'Kriterler'!E18</x:f>
        <x:v>0.04000000000000001</x:v>
      </x:c>
      <x:c r="W2" s="2" t="n">
        <x:f>'Kriterler'!E19</x:f>
        <x:v>0.03</x:v>
      </x:c>
      <x:c r="X2" s="2" t="n">
        <x:f>'Kriterler'!E20</x:f>
        <x:v>0.020000000000000004</x:v>
      </x:c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 t="n">
        <x:f>'Kriterler'!F5</x:f>
        <x:v>0.08000000000000002</x:v>
      </x:c>
      <x:c r="J3" s="2" t="n">
        <x:f>'Kriterler'!F6</x:f>
        <x:v>0.06</x:v>
      </x:c>
      <x:c r="K3" s="2" t="n">
        <x:f>'Kriterler'!F7</x:f>
        <x:v>0.06</x:v>
      </x:c>
      <x:c r="L3" s="2" t="n">
        <x:f>'Kriterler'!F8</x:f>
        <x:v>0.105</x:v>
      </x:c>
      <x:c r="M3" s="2" t="n">
        <x:f>'Kriterler'!F9</x:f>
        <x:v>0.13999999999999999</x:v>
      </x:c>
      <x:c r="N3" s="2" t="n">
        <x:f>'Kriterler'!F10</x:f>
        <x:v>0.105</x:v>
      </x:c>
      <x:c r="O3" s="2" t="n">
        <x:f>'Kriterler'!F11</x:f>
        <x:v>0.1</x:v>
      </x:c>
      <x:c r="P3" s="2" t="n">
        <x:f>'Kriterler'!F12</x:f>
        <x:v>0.05</x:v>
      </x:c>
      <x:c r="Q3" s="2" t="n">
        <x:f>'Kriterler'!F13</x:f>
        <x:v>0.1</x:v>
      </x:c>
      <x:c r="R3" s="2" t="n">
        <x:f>'Kriterler'!F14</x:f>
        <x:v>0.015</x:v>
      </x:c>
      <x:c r="S3" s="2" t="n">
        <x:f>'Kriterler'!F15</x:f>
        <x:v>0.020000000000000004</x:v>
      </x:c>
      <x:c r="T3" s="2" t="n">
        <x:f>'Kriterler'!F16</x:f>
        <x:v>0.015</x:v>
      </x:c>
      <x:c r="U3" s="2" t="n">
        <x:f>'Kriterler'!F17</x:f>
        <x:v>0.06</x:v>
      </x:c>
      <x:c r="V3" s="2" t="n">
        <x:f>'Kriterler'!F18</x:f>
        <x:v>0.04000000000000001</x:v>
      </x:c>
      <x:c r="W3" s="2" t="n">
        <x:f>'Kriterler'!F19</x:f>
        <x:v>0.03</x:v>
      </x:c>
      <x:c r="X3" s="2" t="n">
        <x:f>'Kriterler'!F20</x:f>
        <x:v>0.020000000000000004</x:v>
      </x:c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5" t="str">
        <x:v>Aile ID</x:v>
      </x:c>
      <x:c r="B4" s="5" t="str">
        <x:v>Ürün / rota</x:v>
      </x:c>
      <x:c r="C4" s="5" t="str">
        <x:v>Tip</x:v>
      </x:c>
      <x:c r="D4" s="5" t="str">
        <x:v>Hak/IP</x:v>
      </x:c>
      <x:c r="E4" s="5" t="str">
        <x:v>Veri</x:v>
      </x:c>
      <x:c r="F4" s="5" t="str">
        <x:v>Tahsilat</x:v>
      </x:c>
      <x:c r="G4" s="5" t="str">
        <x:v>Kanal</x:v>
      </x:c>
      <x:c r="H4" s="5" t="str">
        <x:v>Pilot</x:v>
      </x:c>
      <x:c r="I4" s="5" t="str">
        <x:v>D1</x:v>
      </x:c>
      <x:c r="J4" s="5" t="str">
        <x:v>D2</x:v>
      </x:c>
      <x:c r="K4" s="5" t="str">
        <x:v>D3</x:v>
      </x:c>
      <x:c r="L4" s="5" t="str">
        <x:v>C1</x:v>
      </x:c>
      <x:c r="M4" s="5" t="str">
        <x:v>C2</x:v>
      </x:c>
      <x:c r="N4" s="5" t="str">
        <x:v>C3</x:v>
      </x:c>
      <x:c r="O4" s="5" t="str">
        <x:v>A1</x:v>
      </x:c>
      <x:c r="P4" s="5" t="str">
        <x:v>A2</x:v>
      </x:c>
      <x:c r="Q4" s="5" t="str">
        <x:v>A3</x:v>
      </x:c>
      <x:c r="R4" s="5" t="str">
        <x:v>F1</x:v>
      </x:c>
      <x:c r="S4" s="5" t="str">
        <x:v>F2</x:v>
      </x:c>
      <x:c r="T4" s="5" t="str">
        <x:v>F3</x:v>
      </x:c>
      <x:c r="U4" s="5" t="str">
        <x:v>R1</x:v>
      </x:c>
      <x:c r="V4" s="5" t="str">
        <x:v>R2</x:v>
      </x:c>
      <x:c r="W4" s="5" t="str">
        <x:v>O1</x:v>
      </x:c>
      <x:c r="X4" s="5" t="str">
        <x:v>O2</x:v>
      </x:c>
      <x:c r="Y4" s="5" t="str">
        <x:v>Birim fiyat USD</x:v>
      </x:c>
      <x:c r="Z4" s="5" t="str">
        <x:v>Değişken USD/birim</x:v>
      </x:c>
      <x:c r="AA4" s="5" t="str">
        <x:v>Tahsilat oranı</x:v>
      </x:c>
      <x:c r="AB4" s="5" t="str">
        <x:v>İade oranı</x:v>
      </x:c>
      <x:c r="AC4" s="5" t="str">
        <x:v>Lansman hafta</x:v>
      </x:c>
      <x:c r="AD4" s="5" t="str">
        <x:v>Başlangıç saat</x:v>
      </x:c>
      <x:c r="AE4" s="5" t="str">
        <x:v>Edinme saat/alıcı</x:v>
      </x:c>
      <x:c r="AF4" s="5" t="str">
        <x:v>Teslim saat/alıcı</x:v>
      </x:c>
      <x:c r="AG4" s="5" t="str">
        <x:v>Support saat/ay/alıcı</x:v>
      </x:c>
      <x:c r="AH4" s="5" t="str">
        <x:v>En fazla faturalı ay / kohort</x:v>
      </x:c>
      <x:c r="AI4" s="5" t="str">
        <x:v>Başlangıç USD</x:v>
      </x:c>
      <x:c r="AJ4" s="5" t="str">
        <x:v>Sabit USD/ay</x:v>
      </x:c>
      <x:c r="AK4" s="5" t="str">
        <x:v>Kanal saat/hafta</x:v>
      </x:c>
      <x:c r="AL4" s="5" t="str">
        <x:v>Örnek alıcı adedi</x:v>
      </x:c>
      <x:c r="AM4" s="5" t="str">
        <x:v>Buyer</x:v>
      </x:c>
      <x:c r="AN4" s="5" t="str">
        <x:v>Tetikleyici</x:v>
      </x:c>
      <x:c r="AO4" s="5" t="str">
        <x:v>Kanal</x:v>
      </x:c>
      <x:c r="AP4" s="15" t="str">
        <x:v>Kapı açıklaması</x:v>
      </x:c>
      <x:c r="AQ4" s="15" t="str">
        <x:v>Kanıt</x:v>
      </x:c>
      <x:c r="AR4" s="15" t="str">
        <x:v>Gerekçe</x:v>
      </x:c>
      <x:c r="AS4" s="15" t="str">
        <x:v>İlk test</x:v>
      </x:c>
      <x:c r="AT4" s="15" t="str">
        <x:v>Aylık churn varsayımı</x:v>
      </x:c>
    </x:row>
    <x:row r="5" ht="58" customHeight="1">
      <x:c r="A5" s="2" t="str">
        <x:v>Aile-01</x:v>
      </x:c>
      <x:c r="B5" s="2" t="str">
        <x:v>Actionplan</x:v>
      </x:c>
      <x:c r="C5" s="2" t="str">
        <x:v>kit</x:v>
      </x:c>
      <x:c r="D5" s="19" t="n">
        <x:v>1</x:v>
      </x:c>
      <x:c r="E5" s="19" t="n">
        <x:v>1</x:v>
      </x:c>
      <x:c r="F5" s="19" t="n">
        <x:v>1</x:v>
      </x:c>
      <x:c r="G5" s="19" t="n">
        <x:v>1</x:v>
      </x:c>
      <x:c r="H5" s="19" t="n">
        <x:v>1</x:v>
      </x:c>
      <x:c r="I5" s="19" t="n">
        <x:v>3</x:v>
      </x:c>
      <x:c r="J5" s="19" t="n">
        <x:v>2</x:v>
      </x:c>
      <x:c r="K5" s="19" t="n">
        <x:v>3</x:v>
      </x:c>
      <x:c r="L5" s="19" t="n">
        <x:v>2</x:v>
      </x:c>
      <x:c r="M5" s="19" t="n">
        <x:v>2</x:v>
      </x:c>
      <x:c r="N5" s="19" t="n">
        <x:v>2</x:v>
      </x:c>
      <x:c r="O5" s="19" t="n">
        <x:v>3</x:v>
      </x:c>
      <x:c r="P5" s="19" t="n">
        <x:v>3</x:v>
      </x:c>
      <x:c r="Q5" s="19" t="n">
        <x:v>3</x:v>
      </x:c>
      <x:c r="R5" s="19" t="n">
        <x:v>3</x:v>
      </x:c>
      <x:c r="S5" s="19" t="n">
        <x:v>3</x:v>
      </x:c>
      <x:c r="T5" s="19" t="n">
        <x:v>3</x:v>
      </x:c>
      <x:c r="U5" s="19" t="n">
        <x:v>2</x:v>
      </x:c>
      <x:c r="V5" s="19" t="n">
        <x:v>3</x:v>
      </x:c>
      <x:c r="W5" s="19" t="n">
        <x:v>3</x:v>
      </x:c>
      <x:c r="X5" s="19" t="n">
        <x:v>3</x:v>
      </x:c>
      <x:c r="Y5" s="20" t="n">
        <x:v>39</x:v>
      </x:c>
      <x:c r="Z5" s="20" t="n">
        <x:v>2</x:v>
      </x:c>
      <x:c r="AA5" s="21" t="n">
        <x:v>0.06</x:v>
      </x:c>
      <x:c r="AB5" s="21" t="n">
        <x:v>0.04</x:v>
      </x:c>
      <x:c r="AC5" s="20" t="n">
        <x:v>3</x:v>
      </x:c>
      <x:c r="AD5" s="20" t="n">
        <x:v>30</x:v>
      </x:c>
      <x:c r="AE5" s="20" t="n">
        <x:v>0.25</x:v>
      </x:c>
      <x:c r="AF5" s="20" t="n">
        <x:v>0.1</x:v>
      </x:c>
      <x:c r="AG5" s="20" t="n">
        <x:v>0.1</x:v>
      </x:c>
      <x:c r="AH5" s="20" t="n">
        <x:v>1</x:v>
      </x:c>
      <x:c r="AI5" s="20" t="n">
        <x:v>75</x:v>
      </x:c>
      <x:c r="AJ5" s="20" t="n">
        <x:v>8</x:v>
      </x:c>
      <x:c r="AK5" s="20" t="n">
        <x:v>1</x:v>
      </x:c>
      <x:c r="AL5" s="20" t="n">
        <x:v>15</x:v>
      </x:c>
      <x:c r="AM5" s="10" t="str">
        <x:v>Ajans proje lead’i</x:v>
      </x:c>
      <x:c r="AN5" s="10" t="str">
        <x:v>Yeni yazılım işi kırılımı</x:v>
      </x:c>
      <x:c r="AO5" s="10" t="str">
        <x:v>Public görev örneği ve ajan kodlama içerikleri</x:v>
      </x:c>
      <x:c r="AP5" s="22" t="str">
        <x:v>İkinci dış projede aynı export</x:v>
      </x:c>
      <x:c r="AQ5" s="22" t="str">
        <x:v>Kaynak-belge gözlemi; müşteri/tahsilat ve dış pilot doğrulanmadı</x:v>
      </x:c>
      <x:c r="AR5" s="22" t="str">
        <x:v>Özgün şablon/kurulum; generic görev SaaS değil</x:v>
      </x:c>
      <x:c r="AS5" s="22" t="str">
        <x:v>İkinci dış projede aynı export için tek sentetik/izinli örnekte kabul kaydı.</x:v>
      </x:c>
      <x:c r="AT5" s="17" t="n">
        <x:v>0</x:v>
      </x:c>
    </x:row>
    <x:row r="6" ht="58" customHeight="1">
      <x:c r="A6" s="2" t="str">
        <x:v>Aile-02</x:v>
      </x:c>
      <x:c r="B6" s="2" t="str">
        <x:v>Ajan gözlem paneli</x:v>
      </x:c>
      <x:c r="C6" s="2" t="str">
        <x:v>internal</x:v>
      </x:c>
      <x:c r="D6" s="19" t="n">
        <x:v>0</x:v>
      </x:c>
      <x:c r="E6" s="19" t="n">
        <x:v>0</x:v>
      </x:c>
      <x:c r="F6" s="19" t="n">
        <x:v>0</x:v>
      </x:c>
      <x:c r="G6" s="19" t="n">
        <x:v>0</x:v>
      </x:c>
      <x:c r="H6" s="19" t="n">
        <x:v>0</x:v>
      </x:c>
      <x:c r="I6" s="19" t="n">
        <x:v>1</x:v>
      </x:c>
      <x:c r="J6" s="19" t="n">
        <x:v>1</x:v>
      </x:c>
      <x:c r="K6" s="19" t="n">
        <x:v>2</x:v>
      </x:c>
      <x:c r="L6" s="19" t="n">
        <x:v>1</x:v>
      </x:c>
      <x:c r="M6" s="19" t="n">
        <x:v>1</x:v>
      </x:c>
      <x:c r="N6" s="19" t="n">
        <x:v>0</x:v>
      </x:c>
      <x:c r="O6" s="19" t="n">
        <x:v>2</x:v>
      </x:c>
      <x:c r="P6" s="19" t="n">
        <x:v>0</x:v>
      </x:c>
      <x:c r="Q6" s="19" t="n">
        <x:v>2</x:v>
      </x:c>
      <x:c r="R6" s="19" t="n">
        <x:v>2</x:v>
      </x:c>
      <x:c r="S6" s="19" t="n">
        <x:v>2</x:v>
      </x:c>
      <x:c r="T6" s="19" t="n">
        <x:v>2</x:v>
      </x:c>
      <x:c r="U6" s="19" t="n">
        <x:v>1</x:v>
      </x:c>
      <x:c r="V6" s="19" t="n">
        <x:v>2</x:v>
      </x:c>
      <x:c r="W6" s="19" t="n">
        <x:v>2</x:v>
      </x:c>
      <x:c r="X6" s="19" t="n">
        <x:v>2</x:v>
      </x:c>
      <x:c r="Y6" s="20" t="n">
        <x:v>0</x:v>
      </x:c>
      <x:c r="Z6" s="20" t="n">
        <x:v>0</x:v>
      </x:c>
      <x:c r="AA6" s="21" t="n">
        <x:v>0</x:v>
      </x:c>
      <x:c r="AB6" s="21" t="n">
        <x:v>0</x:v>
      </x:c>
      <x:c r="AC6" s="20" t="n">
        <x:v>0</x:v>
      </x:c>
      <x:c r="AD6" s="20" t="n">
        <x:v>0</x:v>
      </x:c>
      <x:c r="AE6" s="20" t="n">
        <x:v>0</x:v>
      </x:c>
      <x:c r="AF6" s="20" t="n">
        <x:v>0</x:v>
      </x:c>
      <x:c r="AG6" s="20" t="n">
        <x:v>0</x:v>
      </x:c>
      <x:c r="AH6" s="20" t="n">
        <x:v>1</x:v>
      </x:c>
      <x:c r="AI6" s="20" t="n">
        <x:v>0</x:v>
      </x:c>
      <x:c r="AJ6" s="20" t="n">
        <x:v>0</x:v>
      </x:c>
      <x:c r="AK6" s="20" t="n">
        <x:v>0</x:v>
      </x:c>
      <x:c r="AL6" s="20" t="n">
        <x:v>0</x:v>
      </x:c>
      <x:c r="AM6" s="10" t="str">
        <x:v>AI araç operatörü</x:v>
      </x:c>
      <x:c r="AN6" s="10" t="str">
        <x:v>Kaynak/maliyet durumunu okuma</x:v>
      </x:c>
      <x:c r="AO6" s="10" t="str">
        <x:v>Guardian örnek JSON akışı</x:v>
      </x:c>
      <x:c r="AP6" s="22" t="str">
        <x:v>Gerçek adapter ve redaksiyon</x:v>
      </x:c>
      <x:c r="AQ6" s="22" t="str">
        <x:v>Kaynak-belge gözlemi; müşteri/tahsilat ve dış pilot doğrulanmadı</x:v>
      </x:c>
      <x:c r="AR6" s="22" t="str">
        <x:v>Görsel prototip; bağımsız gelir sayılmaz</x:v>
      </x:c>
      <x:c r="AS6" s="22" t="str">
        <x:v>Gerçek adapter ve redaksiyon için tek sentetik/izinli örnekte kabul kaydı.</x:v>
      </x:c>
      <x:c r="AT6" s="17" t="n">
        <x:v>0</x:v>
      </x:c>
    </x:row>
    <x:row r="7" ht="58" customHeight="1">
      <x:c r="A7" s="2" t="str">
        <x:v>Aile-03</x:v>
      </x:c>
      <x:c r="B7" s="2" t="str">
        <x:v>AI First EA</x:v>
      </x:c>
      <x:c r="C7" s="2" t="str">
        <x:v>service</x:v>
      </x:c>
      <x:c r="D7" s="19" t="n">
        <x:v>1</x:v>
      </x:c>
      <x:c r="E7" s="19" t="n">
        <x:v>1</x:v>
      </x:c>
      <x:c r="F7" s="19" t="n">
        <x:v>1</x:v>
      </x:c>
      <x:c r="G7" s="19" t="n">
        <x:v>1</x:v>
      </x:c>
      <x:c r="H7" s="19" t="n">
        <x:v>1</x:v>
      </x:c>
      <x:c r="I7" s="19" t="n">
        <x:v>3</x:v>
      </x:c>
      <x:c r="J7" s="19" t="n">
        <x:v>3</x:v>
      </x:c>
      <x:c r="K7" s="19" t="n">
        <x:v>3</x:v>
      </x:c>
      <x:c r="L7" s="19" t="n">
        <x:v>2</x:v>
      </x:c>
      <x:c r="M7" s="19" t="n">
        <x:v>2</x:v>
      </x:c>
      <x:c r="N7" s="19" t="n">
        <x:v>2</x:v>
      </x:c>
      <x:c r="O7" s="19" t="n">
        <x:v>2</x:v>
      </x:c>
      <x:c r="P7" s="19" t="n">
        <x:v>2</x:v>
      </x:c>
      <x:c r="Q7" s="19" t="n">
        <x:v>1</x:v>
      </x:c>
      <x:c r="R7" s="19" t="n">
        <x:v>3</x:v>
      </x:c>
      <x:c r="S7" s="19" t="n">
        <x:v>2</x:v>
      </x:c>
      <x:c r="T7" s="19" t="n">
        <x:v>3</x:v>
      </x:c>
      <x:c r="U7" s="19" t="n">
        <x:v>2</x:v>
      </x:c>
      <x:c r="V7" s="19" t="n">
        <x:v>3</x:v>
      </x:c>
      <x:c r="W7" s="19" t="n">
        <x:v>1</x:v>
      </x:c>
      <x:c r="X7" s="19" t="n">
        <x:v>2</x:v>
      </x:c>
      <x:c r="Y7" s="20" t="n">
        <x:v>800</x:v>
      </x:c>
      <x:c r="Z7" s="20" t="n">
        <x:v>100</x:v>
      </x:c>
      <x:c r="AA7" s="21" t="n">
        <x:v>0.04</x:v>
      </x:c>
      <x:c r="AB7" s="21" t="n">
        <x:v>0.02</x:v>
      </x:c>
      <x:c r="AC7" s="20" t="n">
        <x:v>2</x:v>
      </x:c>
      <x:c r="AD7" s="20" t="n">
        <x:v>20</x:v>
      </x:c>
      <x:c r="AE7" s="20" t="n">
        <x:v>3</x:v>
      </x:c>
      <x:c r="AF7" s="20" t="n">
        <x:v>12</x:v>
      </x:c>
      <x:c r="AG7" s="20" t="n">
        <x:v>0.5</x:v>
      </x:c>
      <x:c r="AH7" s="20" t="n">
        <x:v>1</x:v>
      </x:c>
      <x:c r="AI7" s="20" t="n">
        <x:v>150</x:v>
      </x:c>
      <x:c r="AJ7" s="20" t="n">
        <x:v>15</x:v>
      </x:c>
      <x:c r="AK7" s="20" t="n">
        <x:v>0.5</x:v>
      </x:c>
      <x:c r="AL7" s="20" t="n">
        <x:v>3</x:v>
      </x:c>
      <x:c r="AM7" s="10" t="str">
        <x:v>Frontend teknik lead</x:v>
      </x:c>
      <x:c r="AN7" s="10" t="str">
        <x:v>AI özelliğinin arayüze eklenmesi</x:v>
      </x:c>
      <x:c r="AO7" s="10" t="str">
        <x:v>Özgün Storybook recipe</x:v>
      </x:c>
      <x:c r="AP7" s="22" t="str">
        <x:v>İzinli dış entegrasyon kabulü</x:v>
      </x:c>
      <x:c r="AQ7" s="22" t="str">
        <x:v>Kaynak-belge gözlemi; müşteri/tahsilat ve dış pilot doğrulanmadı</x:v>
      </x:c>
      <x:c r="AR7" s="22" t="str">
        <x:v>EA platformu yerine dar arayüz hizmeti</x:v>
      </x:c>
      <x:c r="AS7" s="22" t="str">
        <x:v>İzinli dış entegrasyon kabulü için tek sentetik/izinli örnekte kabul kaydı.</x:v>
      </x:c>
      <x:c r="AT7" s="17" t="n">
        <x:v>0</x:v>
      </x:c>
    </x:row>
    <x:row r="8" ht="58" customHeight="1">
      <x:c r="A8" s="2" t="str">
        <x:v>Aile-04</x:v>
      </x:c>
      <x:c r="B8" s="2" t="str">
        <x:v>AiCommandCard</x:v>
      </x:c>
      <x:c r="C8" s="2" t="str">
        <x:v>kit</x:v>
      </x:c>
      <x:c r="D8" s="19" t="n">
        <x:v>1</x:v>
      </x:c>
      <x:c r="E8" s="19" t="n">
        <x:v>1</x:v>
      </x:c>
      <x:c r="F8" s="19" t="n">
        <x:v>1</x:v>
      </x:c>
      <x:c r="G8" s="19" t="n">
        <x:v>1</x:v>
      </x:c>
      <x:c r="H8" s="19" t="n">
        <x:v>1</x:v>
      </x:c>
      <x:c r="I8" s="19" t="n">
        <x:v>2</x:v>
      </x:c>
      <x:c r="J8" s="19" t="n">
        <x:v>2</x:v>
      </x:c>
      <x:c r="K8" s="19" t="n">
        <x:v>2</x:v>
      </x:c>
      <x:c r="L8" s="19" t="n">
        <x:v>2</x:v>
      </x:c>
      <x:c r="M8" s="19" t="n">
        <x:v>2</x:v>
      </x:c>
      <x:c r="N8" s="19" t="n">
        <x:v>2</x:v>
      </x:c>
      <x:c r="O8" s="19" t="n">
        <x:v>3</x:v>
      </x:c>
      <x:c r="P8" s="19" t="n">
        <x:v>3</x:v>
      </x:c>
      <x:c r="Q8" s="19" t="n">
        <x:v>3</x:v>
      </x:c>
      <x:c r="R8" s="19" t="n">
        <x:v>2</x:v>
      </x:c>
      <x:c r="S8" s="19" t="n">
        <x:v>3</x:v>
      </x:c>
      <x:c r="T8" s="19" t="n">
        <x:v>3</x:v>
      </x:c>
      <x:c r="U8" s="19" t="n">
        <x:v>2</x:v>
      </x:c>
      <x:c r="V8" s="19" t="n">
        <x:v>2</x:v>
      </x:c>
      <x:c r="W8" s="19" t="n">
        <x:v>3</x:v>
      </x:c>
      <x:c r="X8" s="19" t="n">
        <x:v>3</x:v>
      </x:c>
      <x:c r="Y8" s="20" t="n">
        <x:v>39</x:v>
      </x:c>
      <x:c r="Z8" s="20" t="n">
        <x:v>2</x:v>
      </x:c>
      <x:c r="AA8" s="21" t="n">
        <x:v>0.06</x:v>
      </x:c>
      <x:c r="AB8" s="21" t="n">
        <x:v>0.04</x:v>
      </x:c>
      <x:c r="AC8" s="20" t="n">
        <x:v>3</x:v>
      </x:c>
      <x:c r="AD8" s="20" t="n">
        <x:v>30</x:v>
      </x:c>
      <x:c r="AE8" s="20" t="n">
        <x:v>0.25</x:v>
      </x:c>
      <x:c r="AF8" s="20" t="n">
        <x:v>0.1</x:v>
      </x:c>
      <x:c r="AG8" s="20" t="n">
        <x:v>0.1</x:v>
      </x:c>
      <x:c r="AH8" s="20" t="n">
        <x:v>1</x:v>
      </x:c>
      <x:c r="AI8" s="20" t="n">
        <x:v>75</x:v>
      </x:c>
      <x:c r="AJ8" s="20" t="n">
        <x:v>8</x:v>
      </x:c>
      <x:c r="AK8" s="20" t="n">
        <x:v>1</x:v>
      </x:c>
      <x:c r="AL8" s="20" t="n">
        <x:v>15</x:v>
      </x:c>
      <x:c r="AM8" s="10" t="str">
        <x:v>React ajansı</x:v>
      </x:c>
      <x:c r="AN8" s="10" t="str">
        <x:v>Komut/onay yüzeyi kurulumu</x:v>
      </x:c>
      <x:c r="AO8" s="10" t="str">
        <x:v>Public working recipe</x:v>
      </x:c>
      <x:c r="AP8" s="22" t="str">
        <x:v>Hak ve iki dış entegrasyon</x:v>
      </x:c>
      <x:c r="AQ8" s="22" t="str">
        <x:v>Kaynak-belge gözlemi; müşteri/tahsilat ve dış pilot doğrulanmadı</x:v>
      </x:c>
      <x:c r="AR8" s="22" t="str">
        <x:v>Açık kaynak bileşen; ücret support/uyarlama</x:v>
      </x:c>
      <x:c r="AS8" s="22" t="str">
        <x:v>Hak ve iki dış entegrasyon için tek sentetik/izinli örnekte kabul kaydı.</x:v>
      </x:c>
      <x:c r="AT8" s="17" t="n">
        <x:v>0</x:v>
      </x:c>
    </x:row>
    <x:row r="9" ht="58" customHeight="1">
      <x:c r="A9" s="2" t="str">
        <x:v>Aile-05</x:v>
      </x:c>
      <x:c r="B9" s="2" t="str">
        <x:v>Arsam ParselQ</x:v>
      </x:c>
      <x:c r="C9" s="2" t="str">
        <x:v>dossier</x:v>
      </x:c>
      <x:c r="D9" s="19" t="n">
        <x:v>1</x:v>
      </x:c>
      <x:c r="E9" s="19" t="n">
        <x:v>1</x:v>
      </x:c>
      <x:c r="F9" s="19" t="n">
        <x:v>1</x:v>
      </x:c>
      <x:c r="G9" s="19" t="n">
        <x:v>1</x:v>
      </x:c>
      <x:c r="H9" s="19" t="n">
        <x:v>1</x:v>
      </x:c>
      <x:c r="I9" s="19" t="n">
        <x:v>3</x:v>
      </x:c>
      <x:c r="J9" s="19" t="n">
        <x:v>3</x:v>
      </x:c>
      <x:c r="K9" s="19" t="n">
        <x:v>3</x:v>
      </x:c>
      <x:c r="L9" s="19" t="n">
        <x:v>3</x:v>
      </x:c>
      <x:c r="M9" s="19" t="n">
        <x:v>3</x:v>
      </x:c>
      <x:c r="N9" s="19" t="n">
        <x:v>1</x:v>
      </x:c>
      <x:c r="O9" s="19" t="n">
        <x:v>3</x:v>
      </x:c>
      <x:c r="P9" s="19" t="n">
        <x:v>2</x:v>
      </x:c>
      <x:c r="Q9" s="19" t="n">
        <x:v>1</x:v>
      </x:c>
      <x:c r="R9" s="19" t="n">
        <x:v>3</x:v>
      </x:c>
      <x:c r="S9" s="19" t="n">
        <x:v>3</x:v>
      </x:c>
      <x:c r="T9" s="19" t="n">
        <x:v>3</x:v>
      </x:c>
      <x:c r="U9" s="19" t="n">
        <x:v>3</x:v>
      </x:c>
      <x:c r="V9" s="19" t="n">
        <x:v>3</x:v>
      </x:c>
      <x:c r="W9" s="19" t="n">
        <x:v>1</x:v>
      </x:c>
      <x:c r="X9" s="19" t="n">
        <x:v>2</x:v>
      </x:c>
      <x:c r="Y9" s="20" t="n">
        <x:v>190</x:v>
      </x:c>
      <x:c r="Z9" s="20" t="n">
        <x:v>40</x:v>
      </x:c>
      <x:c r="AA9" s="21" t="n">
        <x:v>0.04</x:v>
      </x:c>
      <x:c r="AB9" s="21" t="n">
        <x:v>0.03</x:v>
      </x:c>
      <x:c r="AC9" s="20" t="n">
        <x:v>3</x:v>
      </x:c>
      <x:c r="AD9" s="20" t="n">
        <x:v>25</x:v>
      </x:c>
      <x:c r="AE9" s="20" t="n">
        <x:v>2.5</x:v>
      </x:c>
      <x:c r="AF9" s="20" t="n">
        <x:v>4</x:v>
      </x:c>
      <x:c r="AG9" s="20" t="n">
        <x:v>0.15</x:v>
      </x:c>
      <x:c r="AH9" s="20" t="n">
        <x:v>1</x:v>
      </x:c>
      <x:c r="AI9" s="20" t="n">
        <x:v>100</x:v>
      </x:c>
      <x:c r="AJ9" s="20" t="n">
        <x:v>10</x:v>
      </x:c>
      <x:c r="AK9" s="20" t="n">
        <x:v>0.5</x:v>
      </x:c>
      <x:c r="AL9" s="20" t="n">
        <x:v>12</x:v>
      </x:c>
      <x:c r="AM9" s="10" t="str">
        <x:v>Arsa danışmanlığı owner</x:v>
      </x:c>
      <x:c r="AN9" s="10" t="str">
        <x:v>Alıcı görüşmesine belge hazırlama</x:v>
      </x:c>
      <x:c r="AO9" s="10" t="str">
        <x:v>Brokerin izinli teslim örneği</x:v>
      </x:c>
      <x:c r="AP9" s="22" t="str">
        <x:v>Yetkili belge ve uzman acceptance</x:v>
      </x:c>
      <x:c r="AQ9" s="22" t="str">
        <x:v>Kaynak-belge gözlemi; müşteri/tahsilat ve dış pilot doğrulanmadı</x:v>
      </x:c>
      <x:c r="AR9" s="22" t="str">
        <x:v>Önce rapor/kart; marketplace sonraki rota</x:v>
      </x:c>
      <x:c r="AS9" s="22" t="str">
        <x:v>Yetkili belge ve uzman acceptance için tek sentetik/izinli örnekte kabul kaydı.</x:v>
      </x:c>
      <x:c r="AT9" s="17" t="n">
        <x:v>0</x:v>
      </x:c>
    </x:row>
    <x:row r="10" ht="58" customHeight="1">
      <x:c r="A10" s="2" t="str">
        <x:v>Aile-06</x:v>
      </x:c>
      <x:c r="B10" s="2" t="str">
        <x:v>Üretici dijital başlangıç</x:v>
      </x:c>
      <x:c r="C10" s="2" t="str">
        <x:v>service</x:v>
      </x:c>
      <x:c r="D10" s="19" t="n">
        <x:v>1</x:v>
      </x:c>
      <x:c r="E10" s="19" t="n">
        <x:v>1</x:v>
      </x:c>
      <x:c r="F10" s="19" t="n">
        <x:v>1</x:v>
      </x:c>
      <x:c r="G10" s="19" t="n">
        <x:v>1</x:v>
      </x:c>
      <x:c r="H10" s="19" t="n">
        <x:v>1</x:v>
      </x:c>
      <x:c r="I10" s="19" t="n">
        <x:v>3</x:v>
      </x:c>
      <x:c r="J10" s="19" t="n">
        <x:v>3</x:v>
      </x:c>
      <x:c r="K10" s="19" t="n">
        <x:v>3</x:v>
      </x:c>
      <x:c r="L10" s="19" t="n">
        <x:v>2</x:v>
      </x:c>
      <x:c r="M10" s="19" t="n">
        <x:v>2</x:v>
      </x:c>
      <x:c r="N10" s="19" t="n">
        <x:v>2</x:v>
      </x:c>
      <x:c r="O10" s="19" t="n">
        <x:v>3</x:v>
      </x:c>
      <x:c r="P10" s="19" t="n">
        <x:v>2</x:v>
      </x:c>
      <x:c r="Q10" s="19" t="n">
        <x:v>1</x:v>
      </x:c>
      <x:c r="R10" s="19" t="n">
        <x:v>3</x:v>
      </x:c>
      <x:c r="S10" s="19" t="n">
        <x:v>3</x:v>
      </x:c>
      <x:c r="T10" s="19" t="n">
        <x:v>3</x:v>
      </x:c>
      <x:c r="U10" s="19" t="n">
        <x:v>2</x:v>
      </x:c>
      <x:c r="V10" s="19" t="n">
        <x:v>2</x:v>
      </x:c>
      <x:c r="W10" s="19" t="n">
        <x:v>2</x:v>
      </x:c>
      <x:c r="X10" s="19" t="n">
        <x:v>3</x:v>
      </x:c>
      <x:c r="Y10" s="20" t="n">
        <x:v>800</x:v>
      </x:c>
      <x:c r="Z10" s="20" t="n">
        <x:v>100</x:v>
      </x:c>
      <x:c r="AA10" s="21" t="n">
        <x:v>0.04</x:v>
      </x:c>
      <x:c r="AB10" s="21" t="n">
        <x:v>0.02</x:v>
      </x:c>
      <x:c r="AC10" s="20" t="n">
        <x:v>2</x:v>
      </x:c>
      <x:c r="AD10" s="20" t="n">
        <x:v>20</x:v>
      </x:c>
      <x:c r="AE10" s="20" t="n">
        <x:v>3</x:v>
      </x:c>
      <x:c r="AF10" s="20" t="n">
        <x:v>12</x:v>
      </x:c>
      <x:c r="AG10" s="20" t="n">
        <x:v>0.5</x:v>
      </x:c>
      <x:c r="AH10" s="20" t="n">
        <x:v>1</x:v>
      </x:c>
      <x:c r="AI10" s="20" t="n">
        <x:v>150</x:v>
      </x:c>
      <x:c r="AJ10" s="20" t="n">
        <x:v>15</x:v>
      </x:c>
      <x:c r="AK10" s="20" t="n">
        <x:v>0.5</x:v>
      </x:c>
      <x:c r="AL10" s="20" t="n">
        <x:v>3</x:v>
      </x:c>
      <x:c r="AM10" s="10" t="str">
        <x:v>Üretici işletme sahibi</x:v>
      </x:c>
      <x:c r="AN10" s="10" t="str">
        <x:v>Online satışa hazırlık</x:v>
      </x:c>
      <x:c r="AO10" s="10" t="str">
        <x:v>İzinli anonim üretici teslim örneği</x:v>
      </x:c>
      <x:c r="AP10" s="22" t="str">
        <x:v>Katalog hakları ve ilk teslim kabulü</x:v>
      </x:c>
      <x:c r="AQ10" s="22" t="str">
        <x:v>Kaynak-belge gözlemi; müşteri/tahsilat ve dış pilot doğrulanmadı</x:v>
      </x:c>
      <x:c r="AR10" s="22" t="str">
        <x:v>Site hizmetinin ayrı paket varyantı</x:v>
      </x:c>
      <x:c r="AS10" s="22" t="str">
        <x:v>Katalog hakları ve ilk teslim kabulü için tek sentetik/izinli örnekte kabul kaydı.</x:v>
      </x:c>
      <x:c r="AT10" s="17" t="n">
        <x:v>0</x:v>
      </x:c>
    </x:row>
    <x:row r="11" ht="58" customHeight="1">
      <x:c r="A11" s="2" t="str">
        <x:v>Aile-07</x:v>
      </x:c>
      <x:c r="B11" s="2" t="str">
        <x:v>AtonotA AgencyOps</x:v>
      </x:c>
      <x:c r="C11" s="2" t="str">
        <x:v>recurring</x:v>
      </x:c>
      <x:c r="D11" s="19" t="n">
        <x:v>1</x:v>
      </x:c>
      <x:c r="E11" s="19" t="n">
        <x:v>1</x:v>
      </x:c>
      <x:c r="F11" s="19" t="n">
        <x:v>1</x:v>
      </x:c>
      <x:c r="G11" s="19" t="n">
        <x:v>1</x:v>
      </x:c>
      <x:c r="H11" s="19" t="n">
        <x:v>1</x:v>
      </x:c>
      <x:c r="I11" s="19" t="n">
        <x:v>3</x:v>
      </x:c>
      <x:c r="J11" s="19" t="n">
        <x:v>3</x:v>
      </x:c>
      <x:c r="K11" s="19" t="n">
        <x:v>3</x:v>
      </x:c>
      <x:c r="L11" s="19" t="n">
        <x:v>3</x:v>
      </x:c>
      <x:c r="M11" s="19" t="n">
        <x:v>2</x:v>
      </x:c>
      <x:c r="N11" s="19" t="n">
        <x:v>1</x:v>
      </x:c>
      <x:c r="O11" s="19" t="n">
        <x:v>2</x:v>
      </x:c>
      <x:c r="P11" s="19" t="n">
        <x:v>2</x:v>
      </x:c>
      <x:c r="Q11" s="19" t="n">
        <x:v>2</x:v>
      </x:c>
      <x:c r="R11" s="19" t="n">
        <x:v>3</x:v>
      </x:c>
      <x:c r="S11" s="19" t="n">
        <x:v>3</x:v>
      </x:c>
      <x:c r="T11" s="19" t="n">
        <x:v>2</x:v>
      </x:c>
      <x:c r="U11" s="19" t="n">
        <x:v>3</x:v>
      </x:c>
      <x:c r="V11" s="19" t="n">
        <x:v>3</x:v>
      </x:c>
      <x:c r="W11" s="19" t="n">
        <x:v>2</x:v>
      </x:c>
      <x:c r="X11" s="19" t="n">
        <x:v>2</x:v>
      </x:c>
      <x:c r="Y11" s="20" t="n">
        <x:v>59</x:v>
      </x:c>
      <x:c r="Z11" s="20" t="n">
        <x:v>8</x:v>
      </x:c>
      <x:c r="AA11" s="21" t="n">
        <x:v>0.04</x:v>
      </x:c>
      <x:c r="AB11" s="21" t="n">
        <x:v>0.03</x:v>
      </x:c>
      <x:c r="AC11" s="20" t="n">
        <x:v>8</x:v>
      </x:c>
      <x:c r="AD11" s="20" t="n">
        <x:v>75</x:v>
      </x:c>
      <x:c r="AE11" s="20" t="n">
        <x:v>2</x:v>
      </x:c>
      <x:c r="AF11" s="20" t="n">
        <x:v>1</x:v>
      </x:c>
      <x:c r="AG11" s="20" t="n">
        <x:v>0.6</x:v>
      </x:c>
      <x:c r="AH11" s="20" t="n">
        <x:v>3</x:v>
      </x:c>
      <x:c r="AI11" s="20" t="n">
        <x:v>250</x:v>
      </x:c>
      <x:c r="AJ11" s="20" t="n">
        <x:v>20</x:v>
      </x:c>
      <x:c r="AK11" s="20" t="n">
        <x:v>0.75</x:v>
      </x:c>
      <x:c r="AL11" s="20" t="n">
        <x:v>8</x:v>
      </x:c>
      <x:c r="AM11" s="10" t="str">
        <x:v>WordPress ajans owner</x:v>
      </x:c>
      <x:c r="AN11" s="10" t="str">
        <x:v>Retainer değişikliği teslimi</x:v>
      </x:c>
      <x:c r="AO11" s="10" t="str">
        <x:v>Ücretsiz health receipt ve kabul örneği</x:v>
      </x:c>
      <x:c r="AP11" s="22" t="str">
        <x:v>Read-only izin/site izolasyonu</x:v>
      </x:c>
      <x:c r="AQ11" s="22" t="str">
        <x:v>Kaynak-belge gözlemi; müşteri/tahsilat ve dış pilot doğrulanmadı</x:v>
      </x:c>
      <x:c r="AR11" s="22" t="str">
        <x:v>Health giriş; ücretli acceptance, genel marketing sonra</x:v>
      </x:c>
      <x:c r="AS11" s="22" t="str">
        <x:v>Read-only izin/site izolasyonu için tek sentetik/izinli örnekte kabul kaydı.</x:v>
      </x:c>
      <x:c r="AT11" s="17" t="n">
        <x:v>0.05</x:v>
      </x:c>
    </x:row>
    <x:row r="12" ht="58" customHeight="1">
      <x:c r="A12" s="2" t="str">
        <x:v>Aile-08</x:v>
      </x:c>
      <x:c r="B12" s="2" t="str">
        <x:v>Ürün/animasyon blokları</x:v>
      </x:c>
      <x:c r="C12" s="2" t="str">
        <x:v>kit</x:v>
      </x:c>
      <x:c r="D12" s="19" t="n">
        <x:v>1</x:v>
      </x:c>
      <x:c r="E12" s="19" t="n">
        <x:v>1</x:v>
      </x:c>
      <x:c r="F12" s="19" t="n">
        <x:v>1</x:v>
      </x:c>
      <x:c r="G12" s="19" t="n">
        <x:v>1</x:v>
      </x:c>
      <x:c r="H12" s="19" t="n">
        <x:v>1</x:v>
      </x:c>
      <x:c r="I12" s="19" t="n">
        <x:v>2</x:v>
      </x:c>
      <x:c r="J12" s="19" t="n">
        <x:v>2</x:v>
      </x:c>
      <x:c r="K12" s="19" t="n">
        <x:v>2</x:v>
      </x:c>
      <x:c r="L12" s="19" t="n">
        <x:v>2</x:v>
      </x:c>
      <x:c r="M12" s="19" t="n">
        <x:v>2</x:v>
      </x:c>
      <x:c r="N12" s="19" t="n">
        <x:v>2</x:v>
      </x:c>
      <x:c r="O12" s="19" t="n">
        <x:v>3</x:v>
      </x:c>
      <x:c r="P12" s="19" t="n">
        <x:v>3</x:v>
      </x:c>
      <x:c r="Q12" s="19" t="n">
        <x:v>3</x:v>
      </x:c>
      <x:c r="R12" s="19" t="n">
        <x:v>2</x:v>
      </x:c>
      <x:c r="S12" s="19" t="n">
        <x:v>3</x:v>
      </x:c>
      <x:c r="T12" s="19" t="n">
        <x:v>3</x:v>
      </x:c>
      <x:c r="U12" s="19" t="n">
        <x:v>1</x:v>
      </x:c>
      <x:c r="V12" s="19" t="n">
        <x:v>2</x:v>
      </x:c>
      <x:c r="W12" s="19" t="n">
        <x:v>3</x:v>
      </x:c>
      <x:c r="X12" s="19" t="n">
        <x:v>2</x:v>
      </x:c>
      <x:c r="Y12" s="20" t="n">
        <x:v>39</x:v>
      </x:c>
      <x:c r="Z12" s="20" t="n">
        <x:v>2</x:v>
      </x:c>
      <x:c r="AA12" s="21" t="n">
        <x:v>0.06</x:v>
      </x:c>
      <x:c r="AB12" s="21" t="n">
        <x:v>0.04</x:v>
      </x:c>
      <x:c r="AC12" s="20" t="n">
        <x:v>3</x:v>
      </x:c>
      <x:c r="AD12" s="20" t="n">
        <x:v>30</x:v>
      </x:c>
      <x:c r="AE12" s="20" t="n">
        <x:v>0.25</x:v>
      </x:c>
      <x:c r="AF12" s="20" t="n">
        <x:v>0.1</x:v>
      </x:c>
      <x:c r="AG12" s="20" t="n">
        <x:v>0.1</x:v>
      </x:c>
      <x:c r="AH12" s="20" t="n">
        <x:v>1</x:v>
      </x:c>
      <x:c r="AI12" s="20" t="n">
        <x:v>75</x:v>
      </x:c>
      <x:c r="AJ12" s="20" t="n">
        <x:v>8</x:v>
      </x:c>
      <x:c r="AK12" s="20" t="n">
        <x:v>1</x:v>
      </x:c>
      <x:c r="AL12" s="20" t="n">
        <x:v>15</x:v>
      </x:c>
      <x:c r="AM12" s="10" t="str">
        <x:v>Üretici site ajansı</x:v>
      </x:c>
      <x:c r="AN12" s="10" t="str">
        <x:v>PDP teslimi</x:v>
      </x:c>
      <x:c r="AO12" s="10" t="str">
        <x:v>Site hizmeti içinde working example</x:v>
      </x:c>
      <x:c r="AP12" s="22" t="str">
        <x:v>Medya/lisans envanteri</x:v>
      </x:c>
      <x:c r="AQ12" s="22" t="str">
        <x:v>Kaynak-belge gözlemi; müşteri/tahsilat ve dış pilot doğrulanmadı</x:v>
      </x:c>
      <x:c r="AR12" s="22" t="str">
        <x:v>Önce internal hız; dış reuse varsa kit</x:v>
      </x:c>
      <x:c r="AS12" s="22" t="str">
        <x:v>Medya/lisans envanteri için tek sentetik/izinli örnekte kabul kaydı.</x:v>
      </x:c>
      <x:c r="AT12" s="17" t="n">
        <x:v>0</x:v>
      </x:c>
    </x:row>
    <x:row r="13" ht="58" customHeight="1">
      <x:c r="A13" s="2" t="str">
        <x:v>Aile-09</x:v>
      </x:c>
      <x:c r="B13" s="2" t="str">
        <x:v>Markalı kampanya çıktısı</x:v>
      </x:c>
      <x:c r="C13" s="2" t="str">
        <x:v>service</x:v>
      </x:c>
      <x:c r="D13" s="19" t="n">
        <x:v>1</x:v>
      </x:c>
      <x:c r="E13" s="19" t="n">
        <x:v>1</x:v>
      </x:c>
      <x:c r="F13" s="19" t="n">
        <x:v>1</x:v>
      </x:c>
      <x:c r="G13" s="19" t="n">
        <x:v>1</x:v>
      </x:c>
      <x:c r="H13" s="19" t="n">
        <x:v>1</x:v>
      </x:c>
      <x:c r="I13" s="19" t="n">
        <x:v>3</x:v>
      </x:c>
      <x:c r="J13" s="19" t="n">
        <x:v>3</x:v>
      </x:c>
      <x:c r="K13" s="19" t="n">
        <x:v>3</x:v>
      </x:c>
      <x:c r="L13" s="19" t="n">
        <x:v>2</x:v>
      </x:c>
      <x:c r="M13" s="19" t="n">
        <x:v>2</x:v>
      </x:c>
      <x:c r="N13" s="19" t="n">
        <x:v>1</x:v>
      </x:c>
      <x:c r="O13" s="19" t="n">
        <x:v>3</x:v>
      </x:c>
      <x:c r="P13" s="19" t="n">
        <x:v>2</x:v>
      </x:c>
      <x:c r="Q13" s="19" t="n">
        <x:v>1</x:v>
      </x:c>
      <x:c r="R13" s="19" t="n">
        <x:v>3</x:v>
      </x:c>
      <x:c r="S13" s="19" t="n">
        <x:v>2</x:v>
      </x:c>
      <x:c r="T13" s="19" t="n">
        <x:v>3</x:v>
      </x:c>
      <x:c r="U13" s="19" t="n">
        <x:v>3</x:v>
      </x:c>
      <x:c r="V13" s="19" t="n">
        <x:v>3</x:v>
      </x:c>
      <x:c r="W13" s="19" t="n">
        <x:v>2</x:v>
      </x:c>
      <x:c r="X13" s="19" t="n">
        <x:v>3</x:v>
      </x:c>
      <x:c r="Y13" s="20" t="n">
        <x:v>350</x:v>
      </x:c>
      <x:c r="Z13" s="20" t="n">
        <x:v>50</x:v>
      </x:c>
      <x:c r="AA13" s="21" t="n">
        <x:v>0.04</x:v>
      </x:c>
      <x:c r="AB13" s="21" t="n">
        <x:v>0.02</x:v>
      </x:c>
      <x:c r="AC13" s="20" t="n">
        <x:v>2</x:v>
      </x:c>
      <x:c r="AD13" s="20" t="n">
        <x:v>20</x:v>
      </x:c>
      <x:c r="AE13" s="20" t="n">
        <x:v>3</x:v>
      </x:c>
      <x:c r="AF13" s="20" t="n">
        <x:v>5</x:v>
      </x:c>
      <x:c r="AG13" s="20" t="n">
        <x:v>0.5</x:v>
      </x:c>
      <x:c r="AH13" s="20" t="n">
        <x:v>1</x:v>
      </x:c>
      <x:c r="AI13" s="20" t="n">
        <x:v>150</x:v>
      </x:c>
      <x:c r="AJ13" s="20" t="n">
        <x:v>15</x:v>
      </x:c>
      <x:c r="AK13" s="20" t="n">
        <x:v>0.5</x:v>
      </x:c>
      <x:c r="AL13" s="20" t="n">
        <x:v>3</x:v>
      </x:c>
      <x:c r="AM13" s="10" t="str">
        <x:v>Çok şubeli marka pazarlama lead</x:v>
      </x:c>
      <x:c r="AN13" s="10" t="str">
        <x:v>Fiyat/sezon kampanya güncelleme</x:v>
      </x:c>
      <x:c r="AO13" s="10" t="str">
        <x:v>Anonim onay öncesi/sonrası örneği</x:v>
      </x:c>
      <x:c r="AP13" s="22" t="str">
        <x:v>Brand source ve publish onayı</x:v>
      </x:c>
      <x:c r="AQ13" s="22" t="str">
        <x:v>Kaynak-belge gözlemi; müşteri/tahsilat ve dış pilot doğrulanmadı</x:v>
      </x:c>
      <x:c r="AR13" s="22" t="str">
        <x:v>Mevcut rehber; editör öneri</x:v>
      </x:c>
      <x:c r="AS13" s="22" t="str">
        <x:v>Brand source ve publish onayı için tek sentetik/izinli örnekte kabul kaydı.</x:v>
      </x:c>
      <x:c r="AT13" s="17" t="n">
        <x:v>0</x:v>
      </x:c>
    </x:row>
    <x:row r="14" ht="58" customHeight="1">
      <x:c r="A14" s="2" t="str">
        <x:v>Aile-10</x:v>
      </x:c>
      <x:c r="B14" s="2" t="str">
        <x:v>Guardian</x:v>
      </x:c>
      <x:c r="C14" s="2" t="str">
        <x:v>kit</x:v>
      </x:c>
      <x:c r="D14" s="19" t="n">
        <x:v>1</x:v>
      </x:c>
      <x:c r="E14" s="19" t="n">
        <x:v>1</x:v>
      </x:c>
      <x:c r="F14" s="19" t="n">
        <x:v>1</x:v>
      </x:c>
      <x:c r="G14" s="19" t="n">
        <x:v>1</x:v>
      </x:c>
      <x:c r="H14" s="19" t="n">
        <x:v>1</x:v>
      </x:c>
      <x:c r="I14" s="19" t="n">
        <x:v>2</x:v>
      </x:c>
      <x:c r="J14" s="19" t="n">
        <x:v>2</x:v>
      </x:c>
      <x:c r="K14" s="19" t="n">
        <x:v>3</x:v>
      </x:c>
      <x:c r="L14" s="19" t="n">
        <x:v>3</x:v>
      </x:c>
      <x:c r="M14" s="19" t="n">
        <x:v>3</x:v>
      </x:c>
      <x:c r="N14" s="19" t="n">
        <x:v>2</x:v>
      </x:c>
      <x:c r="O14" s="19" t="n">
        <x:v>3</x:v>
      </x:c>
      <x:c r="P14" s="19" t="n">
        <x:v>3</x:v>
      </x:c>
      <x:c r="Q14" s="19" t="n">
        <x:v>2</x:v>
      </x:c>
      <x:c r="R14" s="19" t="n">
        <x:v>3</x:v>
      </x:c>
      <x:c r="S14" s="19" t="n">
        <x:v>3</x:v>
      </x:c>
      <x:c r="T14" s="19" t="n">
        <x:v>3</x:v>
      </x:c>
      <x:c r="U14" s="19" t="n">
        <x:v>2</x:v>
      </x:c>
      <x:c r="V14" s="19" t="n">
        <x:v>2</x:v>
      </x:c>
      <x:c r="W14" s="19" t="n">
        <x:v>2</x:v>
      </x:c>
      <x:c r="X14" s="19" t="n">
        <x:v>2</x:v>
      </x:c>
      <x:c r="Y14" s="20" t="n">
        <x:v>49</x:v>
      </x:c>
      <x:c r="Z14" s="20" t="n">
        <x:v>2</x:v>
      </x:c>
      <x:c r="AA14" s="21" t="n">
        <x:v>0.06</x:v>
      </x:c>
      <x:c r="AB14" s="21" t="n">
        <x:v>0.04</x:v>
      </x:c>
      <x:c r="AC14" s="20" t="n">
        <x:v>3</x:v>
      </x:c>
      <x:c r="AD14" s="20" t="n">
        <x:v>18</x:v>
      </x:c>
      <x:c r="AE14" s="20" t="n">
        <x:v>0.25</x:v>
      </x:c>
      <x:c r="AF14" s="20" t="n">
        <x:v>0.4</x:v>
      </x:c>
      <x:c r="AG14" s="20" t="n">
        <x:v>0.25</x:v>
      </x:c>
      <x:c r="AH14" s="20" t="n">
        <x:v>1</x:v>
      </x:c>
      <x:c r="AI14" s="20" t="n">
        <x:v>75</x:v>
      </x:c>
      <x:c r="AJ14" s="20" t="n">
        <x:v>8</x:v>
      </x:c>
      <x:c r="AK14" s="20" t="n">
        <x:v>1</x:v>
      </x:c>
      <x:c r="AL14" s="20" t="n">
        <x:v>15</x:v>
      </x:c>
      <x:c r="AM14" s="10" t="str">
        <x:v>AI kullanan geliştirici</x:v>
      </x:c>
      <x:c r="AN14" s="10" t="str">
        <x:v>Mac kaynak baskısı</x:v>
      </x:c>
      <x:c r="AO14" s="10" t="str">
        <x:v>Public CLI ve gerçek güvenlik fixture</x:v>
      </x:c>
      <x:c r="AP14" s="22" t="str">
        <x:v>Desteklenen Mac süreç güvenliği</x:v>
      </x:c>
      <x:c r="AQ14" s="22" t="str">
        <x:v>Kaynak-belge gözlemi; müşteri/tahsilat ve dış pilot doğrulanmadı</x:v>
      </x:c>
      <x:c r="AR14" s="22" t="str">
        <x:v>Codex korunur; cost parser yeni iş</x:v>
      </x:c>
      <x:c r="AS14" s="22" t="str">
        <x:v>Desteklenen Mac süreç güvenliği için tek sentetik/izinli örnekte kabul kaydı.</x:v>
      </x:c>
      <x:c r="AT14" s="17" t="n">
        <x:v>0</x:v>
      </x:c>
    </x:row>
    <x:row r="15" ht="58" customHeight="1">
      <x:c r="A15" s="2" t="str">
        <x:v>Aile-11</x:v>
      </x:c>
      <x:c r="B15" s="2" t="str">
        <x:v>Keşif sihirbazı</x:v>
      </x:c>
      <x:c r="C15" s="2" t="str">
        <x:v>kit</x:v>
      </x:c>
      <x:c r="D15" s="19" t="n">
        <x:v>1</x:v>
      </x:c>
      <x:c r="E15" s="19" t="n">
        <x:v>1</x:v>
      </x:c>
      <x:c r="F15" s="19" t="n">
        <x:v>1</x:v>
      </x:c>
      <x:c r="G15" s="19" t="n">
        <x:v>1</x:v>
      </x:c>
      <x:c r="H15" s="19" t="n">
        <x:v>1</x:v>
      </x:c>
      <x:c r="I15" s="19" t="n">
        <x:v>3</x:v>
      </x:c>
      <x:c r="J15" s="19" t="n">
        <x:v>2</x:v>
      </x:c>
      <x:c r="K15" s="19" t="n">
        <x:v>3</x:v>
      </x:c>
      <x:c r="L15" s="19" t="n">
        <x:v>2</x:v>
      </x:c>
      <x:c r="M15" s="19" t="n">
        <x:v>2</x:v>
      </x:c>
      <x:c r="N15" s="19" t="n">
        <x:v>2</x:v>
      </x:c>
      <x:c r="O15" s="19" t="n">
        <x:v>3</x:v>
      </x:c>
      <x:c r="P15" s="19" t="n">
        <x:v>3</x:v>
      </x:c>
      <x:c r="Q15" s="19" t="n">
        <x:v>3</x:v>
      </x:c>
      <x:c r="R15" s="19" t="n">
        <x:v>2</x:v>
      </x:c>
      <x:c r="S15" s="19" t="n">
        <x:v>3</x:v>
      </x:c>
      <x:c r="T15" s="19" t="n">
        <x:v>3</x:v>
      </x:c>
      <x:c r="U15" s="19" t="n">
        <x:v>2</x:v>
      </x:c>
      <x:c r="V15" s="19" t="n">
        <x:v>3</x:v>
      </x:c>
      <x:c r="W15" s="19" t="n">
        <x:v>3</x:v>
      </x:c>
      <x:c r="X15" s="19" t="n">
        <x:v>3</x:v>
      </x:c>
      <x:c r="Y15" s="20" t="n">
        <x:v>39</x:v>
      </x:c>
      <x:c r="Z15" s="20" t="n">
        <x:v>2</x:v>
      </x:c>
      <x:c r="AA15" s="21" t="n">
        <x:v>0.06</x:v>
      </x:c>
      <x:c r="AB15" s="21" t="n">
        <x:v>0.04</x:v>
      </x:c>
      <x:c r="AC15" s="20" t="n">
        <x:v>3</x:v>
      </x:c>
      <x:c r="AD15" s="20" t="n">
        <x:v>30</x:v>
      </x:c>
      <x:c r="AE15" s="20" t="n">
        <x:v>0.25</x:v>
      </x:c>
      <x:c r="AF15" s="20" t="n">
        <x:v>0.1</x:v>
      </x:c>
      <x:c r="AG15" s="20" t="n">
        <x:v>0.1</x:v>
      </x:c>
      <x:c r="AH15" s="20" t="n">
        <x:v>1</x:v>
      </x:c>
      <x:c r="AI15" s="20" t="n">
        <x:v>75</x:v>
      </x:c>
      <x:c r="AJ15" s="20" t="n">
        <x:v>8</x:v>
      </x:c>
      <x:c r="AK15" s="20" t="n">
        <x:v>1</x:v>
      </x:c>
      <x:c r="AL15" s="20" t="n">
        <x:v>15</x:v>
      </x:c>
      <x:c r="AM15" s="10" t="str">
        <x:v>Ajans teklif sorumlusu</x:v>
      </x:c>
      <x:c r="AN15" s="10" t="str">
        <x:v>Yeni teklif hazırlığı</x:v>
      </x:c>
      <x:c r="AO15" s="10" t="str">
        <x:v>Kendi hizmet teklifinin brief örneği</x:v>
      </x:c>
      <x:c r="AP15" s="22" t="str">
        <x:v>Dış ajansın ikinci teklif kullanımı</x:v>
      </x:c>
      <x:c r="AQ15" s="22" t="str">
        <x:v>Kaynak-belge gözlemi; müşteri/tahsilat ve dış pilot doğrulanmadı</x:v>
      </x:c>
      <x:c r="AR15" s="22" t="str">
        <x:v>Önce internal form; sonra white-label</x:v>
      </x:c>
      <x:c r="AS15" s="22" t="str">
        <x:v>Dış ajansın ikinci teklif kullanımı için tek sentetik/izinli örnekte kabul kaydı.</x:v>
      </x:c>
      <x:c r="AT15" s="17" t="n">
        <x:v>0</x:v>
      </x:c>
    </x:row>
    <x:row r="16" ht="58" customHeight="1">
      <x:c r="A16" s="2" t="str">
        <x:v>Aile-12</x:v>
      </x:c>
      <x:c r="B16" s="2" t="str">
        <x:v>Sunum çıktı hizmeti</x:v>
      </x:c>
      <x:c r="C16" s="2" t="str">
        <x:v>service</x:v>
      </x:c>
      <x:c r="D16" s="19" t="n">
        <x:v>1</x:v>
      </x:c>
      <x:c r="E16" s="19" t="n">
        <x:v>1</x:v>
      </x:c>
      <x:c r="F16" s="19" t="n">
        <x:v>1</x:v>
      </x:c>
      <x:c r="G16" s="19" t="n">
        <x:v>1</x:v>
      </x:c>
      <x:c r="H16" s="19" t="n">
        <x:v>1</x:v>
      </x:c>
      <x:c r="I16" s="19" t="n">
        <x:v>3</x:v>
      </x:c>
      <x:c r="J16" s="19" t="n">
        <x:v>3</x:v>
      </x:c>
      <x:c r="K16" s="19" t="n">
        <x:v>3</x:v>
      </x:c>
      <x:c r="L16" s="19" t="n">
        <x:v>2</x:v>
      </x:c>
      <x:c r="M16" s="19" t="n">
        <x:v>2</x:v>
      </x:c>
      <x:c r="N16" s="19" t="n">
        <x:v>1</x:v>
      </x:c>
      <x:c r="O16" s="19" t="n">
        <x:v>3</x:v>
      </x:c>
      <x:c r="P16" s="19" t="n">
        <x:v>2</x:v>
      </x:c>
      <x:c r="Q16" s="19" t="n">
        <x:v>1</x:v>
      </x:c>
      <x:c r="R16" s="19" t="n">
        <x:v>2</x:v>
      </x:c>
      <x:c r="S16" s="19" t="n">
        <x:v>2</x:v>
      </x:c>
      <x:c r="T16" s="19" t="n">
        <x:v>3</x:v>
      </x:c>
      <x:c r="U16" s="19" t="n">
        <x:v>2</x:v>
      </x:c>
      <x:c r="V16" s="19" t="n">
        <x:v>2</x:v>
      </x:c>
      <x:c r="W16" s="19" t="n">
        <x:v>2</x:v>
      </x:c>
      <x:c r="X16" s="19" t="n">
        <x:v>2</x:v>
      </x:c>
      <x:c r="Y16" s="20" t="n">
        <x:v>450</x:v>
      </x:c>
      <x:c r="Z16" s="20" t="n">
        <x:v>70</x:v>
      </x:c>
      <x:c r="AA16" s="21" t="n">
        <x:v>0.04</x:v>
      </x:c>
      <x:c r="AB16" s="21" t="n">
        <x:v>0.02</x:v>
      </x:c>
      <x:c r="AC16" s="20" t="n">
        <x:v>2</x:v>
      </x:c>
      <x:c r="AD16" s="20" t="n">
        <x:v>20</x:v>
      </x:c>
      <x:c r="AE16" s="20" t="n">
        <x:v>3</x:v>
      </x:c>
      <x:c r="AF16" s="20" t="n">
        <x:v>7</x:v>
      </x:c>
      <x:c r="AG16" s="20" t="n">
        <x:v>0.5</x:v>
      </x:c>
      <x:c r="AH16" s="20" t="n">
        <x:v>1</x:v>
      </x:c>
      <x:c r="AI16" s="20" t="n">
        <x:v>150</x:v>
      </x:c>
      <x:c r="AJ16" s="20" t="n">
        <x:v>15</x:v>
      </x:c>
      <x:c r="AK16" s="20" t="n">
        <x:v>0.5</x:v>
      </x:c>
      <x:c r="AL16" s="20" t="n">
        <x:v>3</x:v>
      </x:c>
      <x:c r="AM16" s="10" t="str">
        <x:v>B2B satış lead</x:v>
      </x:c>
      <x:c r="AN16" s="10" t="str">
        <x:v>Yeni satış destesi</x:v>
      </x:c>
      <x:c r="AO16" s="10" t="str">
        <x:v>Anonim sentetik deck</x:v>
      </x:c>
      <x:c r="AP16" s="22" t="str">
        <x:v>Çekirdek/medya kullanım hakları</x:v>
      </x:c>
      <x:c r="AQ16" s="22" t="str">
        <x:v>Kaynak-belge gözlemi; müşteri/tahsilat ve dış pilot doğrulanmadı</x:v>
      </x:c>
      <x:c r="AR16" s="22" t="str">
        <x:v>Great Doers ve B4B ayrı bekleyen kavram</x:v>
      </x:c>
      <x:c r="AS16" s="22" t="str">
        <x:v>Çekirdek/medya kullanım hakları için tek sentetik/izinli örnekte kabul kaydı.</x:v>
      </x:c>
      <x:c r="AT16" s="17" t="n">
        <x:v>0</x:v>
      </x:c>
    </x:row>
    <x:row r="17" ht="58" customHeight="1">
      <x:c r="A17" s="2" t="str">
        <x:v>Aile-13</x:v>
      </x:c>
      <x:c r="B17" s="2" t="str">
        <x:v>CronHR demo kiti</x:v>
      </x:c>
      <x:c r="C17" s="2" t="str">
        <x:v>service</x:v>
      </x:c>
      <x:c r="D17" s="19" t="n">
        <x:v>1</x:v>
      </x:c>
      <x:c r="E17" s="19" t="n">
        <x:v>1</x:v>
      </x:c>
      <x:c r="F17" s="19" t="n">
        <x:v>1</x:v>
      </x:c>
      <x:c r="G17" s="19" t="n">
        <x:v>1</x:v>
      </x:c>
      <x:c r="H17" s="19" t="n">
        <x:v>1</x:v>
      </x:c>
      <x:c r="I17" s="19" t="n">
        <x:v>3</x:v>
      </x:c>
      <x:c r="J17" s="19" t="n">
        <x:v>3</x:v>
      </x:c>
      <x:c r="K17" s="19" t="n">
        <x:v>3</x:v>
      </x:c>
      <x:c r="L17" s="19" t="n">
        <x:v>2</x:v>
      </x:c>
      <x:c r="M17" s="19" t="n">
        <x:v>3</x:v>
      </x:c>
      <x:c r="N17" s="19" t="n">
        <x:v>1</x:v>
      </x:c>
      <x:c r="O17" s="19" t="n">
        <x:v>3</x:v>
      </x:c>
      <x:c r="P17" s="19" t="n">
        <x:v>2</x:v>
      </x:c>
      <x:c r="Q17" s="19" t="n">
        <x:v>1</x:v>
      </x:c>
      <x:c r="R17" s="19" t="n">
        <x:v>3</x:v>
      </x:c>
      <x:c r="S17" s="19" t="n">
        <x:v>3</x:v>
      </x:c>
      <x:c r="T17" s="19" t="n">
        <x:v>3</x:v>
      </x:c>
      <x:c r="U17" s="19" t="n">
        <x:v>2</x:v>
      </x:c>
      <x:c r="V17" s="19" t="n">
        <x:v>2</x:v>
      </x:c>
      <x:c r="W17" s="19" t="n">
        <x:v>2</x:v>
      </x:c>
      <x:c r="X17" s="19" t="n">
        <x:v>2</x:v>
      </x:c>
      <x:c r="Y17" s="20" t="n">
        <x:v>1400</x:v>
      </x:c>
      <x:c r="Z17" s="20" t="n">
        <x:v>100</x:v>
      </x:c>
      <x:c r="AA17" s="21" t="n">
        <x:v>0.04</x:v>
      </x:c>
      <x:c r="AB17" s="21" t="n">
        <x:v>0.02</x:v>
      </x:c>
      <x:c r="AC17" s="20" t="n">
        <x:v>2</x:v>
      </x:c>
      <x:c r="AD17" s="20" t="n">
        <x:v>30</x:v>
      </x:c>
      <x:c r="AE17" s="20" t="n">
        <x:v>3</x:v>
      </x:c>
      <x:c r="AF17" s="20" t="n">
        <x:v>28</x:v>
      </x:c>
      <x:c r="AG17" s="20" t="n">
        <x:v>0.5</x:v>
      </x:c>
      <x:c r="AH17" s="20" t="n">
        <x:v>1</x:v>
      </x:c>
      <x:c r="AI17" s="20" t="n">
        <x:v>150</x:v>
      </x:c>
      <x:c r="AJ17" s="20" t="n">
        <x:v>15</x:v>
      </x:c>
      <x:c r="AK17" s="20" t="n">
        <x:v>0.5</x:v>
      </x:c>
      <x:c r="AL17" s="20" t="n">
        <x:v>2</x:v>
      </x:c>
      <x:c r="AM17" s="10" t="str">
        <x:v>SaaS kurucusu/ajans satış lead</x:v>
      </x:c>
      <x:c r="AN17" s="10" t="str">
        <x:v>Ürün teklif/görüşme hazırlığı</x:v>
      </x:c>
      <x:c r="AO17" s="10" t="str">
        <x:v>Sentetik markasız demo</x:v>
      </x:c>
      <x:c r="AP17" s="22" t="str">
        <x:v>Kullanım hakları ve demo acceptance</x:v>
      </x:c>
      <x:c r="AQ17" s="22" t="str">
        <x:v>Kaynak-belge gözlemi; müşteri/tahsilat ve dış pilot doğrulanmadı</x:v>
      </x:c>
      <x:c r="AR17" s="22" t="str">
        <x:v>PDKS ürünü ayrı backend/alan kapısı</x:v>
      </x:c>
      <x:c r="AS17" s="22" t="str">
        <x:v>Kullanım hakları ve demo acceptance için tek sentetik/izinli örnekte kabul kaydı.</x:v>
      </x:c>
      <x:c r="AT17" s="17" t="n">
        <x:v>0</x:v>
      </x:c>
    </x:row>
    <x:row r="18" ht="58" customHeight="1">
      <x:c r="A18" s="2" t="str">
        <x:v>Aile-14</x:v>
      </x:c>
      <x:c r="B18" s="2" t="str">
        <x:v>Zincir operasyon hizmeti</x:v>
      </x:c>
      <x:c r="C18" s="2" t="str">
        <x:v>service</x:v>
      </x:c>
      <x:c r="D18" s="19" t="n">
        <x:v>1</x:v>
      </x:c>
      <x:c r="E18" s="19" t="n">
        <x:v>1</x:v>
      </x:c>
      <x:c r="F18" s="19" t="n">
        <x:v>1</x:v>
      </x:c>
      <x:c r="G18" s="19" t="n">
        <x:v>1</x:v>
      </x:c>
      <x:c r="H18" s="19" t="n">
        <x:v>1</x:v>
      </x:c>
      <x:c r="I18" s="19" t="n">
        <x:v>3</x:v>
      </x:c>
      <x:c r="J18" s="19" t="n">
        <x:v>3</x:v>
      </x:c>
      <x:c r="K18" s="19" t="n">
        <x:v>3</x:v>
      </x:c>
      <x:c r="L18" s="19" t="n">
        <x:v>2</x:v>
      </x:c>
      <x:c r="M18" s="19" t="n">
        <x:v>2</x:v>
      </x:c>
      <x:c r="N18" s="19" t="n">
        <x:v>1</x:v>
      </x:c>
      <x:c r="O18" s="19" t="n">
        <x:v>2</x:v>
      </x:c>
      <x:c r="P18" s="19" t="n">
        <x:v>1</x:v>
      </x:c>
      <x:c r="Q18" s="19" t="n">
        <x:v>0</x:v>
      </x:c>
      <x:c r="R18" s="19" t="n">
        <x:v>3</x:v>
      </x:c>
      <x:c r="S18" s="19" t="n">
        <x:v>2</x:v>
      </x:c>
      <x:c r="T18" s="19" t="n">
        <x:v>2</x:v>
      </x:c>
      <x:c r="U18" s="19" t="n">
        <x:v>3</x:v>
      </x:c>
      <x:c r="V18" s="19" t="n">
        <x:v>3</x:v>
      </x:c>
      <x:c r="W18" s="19" t="n">
        <x:v>1</x:v>
      </x:c>
      <x:c r="X18" s="19" t="n">
        <x:v>1</x:v>
      </x:c>
      <x:c r="Y18" s="20" t="n">
        <x:v>2500</x:v>
      </x:c>
      <x:c r="Z18" s="20" t="n">
        <x:v>100</x:v>
      </x:c>
      <x:c r="AA18" s="21" t="n">
        <x:v>0.04</x:v>
      </x:c>
      <x:c r="AB18" s="21" t="n">
        <x:v>0.02</x:v>
      </x:c>
      <x:c r="AC18" s="20" t="n">
        <x:v>2</x:v>
      </x:c>
      <x:c r="AD18" s="20" t="n">
        <x:v>20</x:v>
      </x:c>
      <x:c r="AE18" s="20" t="n">
        <x:v>8</x:v>
      </x:c>
      <x:c r="AF18" s="20" t="n">
        <x:v>70</x:v>
      </x:c>
      <x:c r="AG18" s="20" t="n">
        <x:v>0.5</x:v>
      </x:c>
      <x:c r="AH18" s="20" t="n">
        <x:v>1</x:v>
      </x:c>
      <x:c r="AI18" s="20" t="n">
        <x:v>150</x:v>
      </x:c>
      <x:c r="AJ18" s="20" t="n">
        <x:v>15</x:v>
      </x:c>
      <x:c r="AK18" s="20" t="n">
        <x:v>0.5</x:v>
      </x:c>
      <x:c r="AL18" s="20" t="n">
        <x:v>1</x:v>
      </x:c>
      <x:c r="AM18" s="10" t="str">
        <x:v>Kahve zinciri operasyon buyer</x:v>
      </x:c>
      <x:c r="AN18" s="10" t="str">
        <x:v>Mevcut kanalların mutabakatı</x:v>
      </x:c>
      <x:c r="AO18" s="10" t="str">
        <x:v>İzinli sektör demo ve tek partner</x:v>
      </x:c>
      <x:c r="AP18" s="22" t="str">
        <x:v>Müşteri erişimi/entegrasyon yetkisi</x:v>
      </x:c>
      <x:c r="AQ18" s="22" t="str">
        <x:v>Kaynak-belge gözlemi; müşteri/tahsilat ve dış pilot doğrulanmadı</x:v>
      </x:c>
      <x:c r="AR18" s="22" t="str">
        <x:v>Gerçek müşteri özel bilgisi modelde yok</x:v>
      </x:c>
      <x:c r="AS18" s="22" t="str">
        <x:v>Müşteri erişimi/entegrasyon yetkisi için tek sentetik/izinli örnekte kabul kaydı.</x:v>
      </x:c>
      <x:c r="AT18" s="17" t="n">
        <x:v>0</x:v>
      </x:c>
    </x:row>
    <x:row r="19" ht="58" customHeight="1">
      <x:c r="A19" s="2" t="str">
        <x:v>Aile-15</x:v>
      </x:c>
      <x:c r="B19" s="2" t="str">
        <x:v>DCP</x:v>
      </x:c>
      <x:c r="C19" s="2" t="str">
        <x:v>internal</x:v>
      </x:c>
      <x:c r="D19" s="19" t="n">
        <x:v>0</x:v>
      </x:c>
      <x:c r="E19" s="19" t="n">
        <x:v>0</x:v>
      </x:c>
      <x:c r="F19" s="19" t="n">
        <x:v>0</x:v>
      </x:c>
      <x:c r="G19" s="19" t="n">
        <x:v>0</x:v>
      </x:c>
      <x:c r="H19" s="19" t="n">
        <x:v>0</x:v>
      </x:c>
      <x:c r="I19" s="19" t="n">
        <x:v>1</x:v>
      </x:c>
      <x:c r="J19" s="19" t="n">
        <x:v>1</x:v>
      </x:c>
      <x:c r="K19" s="19" t="n">
        <x:v>1</x:v>
      </x:c>
      <x:c r="L19" s="19" t="n">
        <x:v>1</x:v>
      </x:c>
      <x:c r="M19" s="19" t="n">
        <x:v>1</x:v>
      </x:c>
      <x:c r="N19" s="19" t="n">
        <x:v>0</x:v>
      </x:c>
      <x:c r="O19" s="19" t="n">
        <x:v>1</x:v>
      </x:c>
      <x:c r="P19" s="19" t="n">
        <x:v>0</x:v>
      </x:c>
      <x:c r="Q19" s="19" t="n">
        <x:v>1</x:v>
      </x:c>
      <x:c r="R19" s="19" t="n">
        <x:v>1</x:v>
      </x:c>
      <x:c r="S19" s="19" t="n">
        <x:v>1</x:v>
      </x:c>
      <x:c r="T19" s="19" t="n">
        <x:v>1</x:v>
      </x:c>
      <x:c r="U19" s="19" t="n">
        <x:v>1</x:v>
      </x:c>
      <x:c r="V19" s="19" t="n">
        <x:v>1</x:v>
      </x:c>
      <x:c r="W19" s="19" t="n">
        <x:v>1</x:v>
      </x:c>
      <x:c r="X19" s="19" t="n">
        <x:v>1</x:v>
      </x:c>
      <x:c r="Y19" s="20" t="n">
        <x:v>0</x:v>
      </x:c>
      <x:c r="Z19" s="20" t="n">
        <x:v>0</x:v>
      </x:c>
      <x:c r="AA19" s="21" t="n">
        <x:v>0</x:v>
      </x:c>
      <x:c r="AB19" s="21" t="n">
        <x:v>0</x:v>
      </x:c>
      <x:c r="AC19" s="20" t="n">
        <x:v>0</x:v>
      </x:c>
      <x:c r="AD19" s="20" t="n">
        <x:v>0</x:v>
      </x:c>
      <x:c r="AE19" s="20" t="n">
        <x:v>0</x:v>
      </x:c>
      <x:c r="AF19" s="20" t="n">
        <x:v>0</x:v>
      </x:c>
      <x:c r="AG19" s="20" t="n">
        <x:v>0</x:v>
      </x:c>
      <x:c r="AH19" s="20" t="n">
        <x:v>1</x:v>
      </x:c>
      <x:c r="AI19" s="20" t="n">
        <x:v>0</x:v>
      </x:c>
      <x:c r="AJ19" s="20" t="n">
        <x:v>0</x:v>
      </x:c>
      <x:c r="AK19" s="20" t="n">
        <x:v>0</x:v>
      </x:c>
      <x:c r="AL19" s="20" t="n">
        <x:v>0</x:v>
      </x:c>
      <x:c r="AM19" s="10" t="str">
        <x:v>Kurulum operatörü</x:v>
      </x:c>
      <x:c r="AN19" s="10" t="str">
        <x:v>İzinli site taşıma</x:v>
      </x:c>
      <x:c r="AO19" s="10" t="str">
        <x:v>Dahili setup</x:v>
      </x:c>
      <x:c r="AP19" s="22" t="str">
        <x:v>Kaynak ürün kanıtı yok</x:v>
      </x:c>
      <x:c r="AQ19" s="22" t="str">
        <x:v>Kaynak-belge gözlemi; müşteri/tahsilat ve dış pilot doğrulanmadı</x:v>
      </x:c>
      <x:c r="AR19" s="22" t="str">
        <x:v>Bağımsız ticari seçenek değil</x:v>
      </x:c>
      <x:c r="AS19" s="22" t="str">
        <x:v>Kaynak ürün kanıtı yok için tek sentetik/izinli örnekte kabul kaydı.</x:v>
      </x:c>
      <x:c r="AT19" s="17" t="n">
        <x:v>0</x:v>
      </x:c>
    </x:row>
    <x:row r="20" ht="58" customHeight="1">
      <x:c r="A20" s="2" t="str">
        <x:v>Aile-16</x:v>
      </x:c>
      <x:c r="B20" s="2" t="str">
        <x:v>Mimari şema çıktısı</x:v>
      </x:c>
      <x:c r="C20" s="2" t="str">
        <x:v>kit</x:v>
      </x:c>
      <x:c r="D20" s="19" t="n">
        <x:v>1</x:v>
      </x:c>
      <x:c r="E20" s="19" t="n">
        <x:v>1</x:v>
      </x:c>
      <x:c r="F20" s="19" t="n">
        <x:v>1</x:v>
      </x:c>
      <x:c r="G20" s="19" t="n">
        <x:v>1</x:v>
      </x:c>
      <x:c r="H20" s="19" t="n">
        <x:v>1</x:v>
      </x:c>
      <x:c r="I20" s="19" t="n">
        <x:v>2</x:v>
      </x:c>
      <x:c r="J20" s="19" t="n">
        <x:v>2</x:v>
      </x:c>
      <x:c r="K20" s="19" t="n">
        <x:v>3</x:v>
      </x:c>
      <x:c r="L20" s="19" t="n">
        <x:v>2</x:v>
      </x:c>
      <x:c r="M20" s="19" t="n">
        <x:v>2</x:v>
      </x:c>
      <x:c r="N20" s="19" t="n">
        <x:v>2</x:v>
      </x:c>
      <x:c r="O20" s="19" t="n">
        <x:v>3</x:v>
      </x:c>
      <x:c r="P20" s="19" t="n">
        <x:v>3</x:v>
      </x:c>
      <x:c r="Q20" s="19" t="n">
        <x:v>3</x:v>
      </x:c>
      <x:c r="R20" s="19" t="n">
        <x:v>3</x:v>
      </x:c>
      <x:c r="S20" s="19" t="n">
        <x:v>3</x:v>
      </x:c>
      <x:c r="T20" s="19" t="n">
        <x:v>3</x:v>
      </x:c>
      <x:c r="U20" s="19" t="n">
        <x:v>2</x:v>
      </x:c>
      <x:c r="V20" s="19" t="n">
        <x:v>3</x:v>
      </x:c>
      <x:c r="W20" s="19" t="n">
        <x:v>3</x:v>
      </x:c>
      <x:c r="X20" s="19" t="n">
        <x:v>3</x:v>
      </x:c>
      <x:c r="Y20" s="20" t="n">
        <x:v>39</x:v>
      </x:c>
      <x:c r="Z20" s="20" t="n">
        <x:v>2</x:v>
      </x:c>
      <x:c r="AA20" s="21" t="n">
        <x:v>0.06</x:v>
      </x:c>
      <x:c r="AB20" s="21" t="n">
        <x:v>0.04</x:v>
      </x:c>
      <x:c r="AC20" s="20" t="n">
        <x:v>3</x:v>
      </x:c>
      <x:c r="AD20" s="20" t="n">
        <x:v>30</x:v>
      </x:c>
      <x:c r="AE20" s="20" t="n">
        <x:v>0.25</x:v>
      </x:c>
      <x:c r="AF20" s="20" t="n">
        <x:v>0.1</x:v>
      </x:c>
      <x:c r="AG20" s="20" t="n">
        <x:v>0.1</x:v>
      </x:c>
      <x:c r="AH20" s="20" t="n">
        <x:v>1</x:v>
      </x:c>
      <x:c r="AI20" s="20" t="n">
        <x:v>75</x:v>
      </x:c>
      <x:c r="AJ20" s="20" t="n">
        <x:v>8</x:v>
      </x:c>
      <x:c r="AK20" s="20" t="n">
        <x:v>1</x:v>
      </x:c>
      <x:c r="AL20" s="20" t="n">
        <x:v>15</x:v>
      </x:c>
      <x:c r="AM20" s="10" t="str">
        <x:v>Yazılım eğitmeni</x:v>
      </x:c>
      <x:c r="AN20" s="10" t="str">
        <x:v>Mimari ders/karar açıklaması</x:v>
      </x:c>
      <x:c r="AO20" s="10" t="str">
        <x:v>Projector örnek içerik</x:v>
      </x:c>
      <x:c r="AP20" s="22" t="str">
        <x:v>Schema round-trip ve dış kabul</x:v>
      </x:c>
      <x:c r="AQ20" s="22" t="str">
        <x:v>Kaynak-belge gözlemi; müşteri/tahsilat ve dış pilot doğrulanmadı</x:v>
      </x:c>
      <x:c r="AR20" s="22" t="str">
        <x:v>Framework platformu yerine dar eğitim eki</x:v>
      </x:c>
      <x:c r="AS20" s="22" t="str">
        <x:v>Schema round-trip ve dış kabul için tek sentetik/izinli örnekte kabul kaydı.</x:v>
      </x:c>
      <x:c r="AT20" s="17" t="n">
        <x:v>0</x:v>
      </x:c>
    </x:row>
    <x:row r="21" ht="58" customHeight="1">
      <x:c r="A21" s="2" t="str">
        <x:v>Aile-17</x:v>
      </x:c>
      <x:c r="B21" s="2" t="str">
        <x:v>DestekTeşvik</x:v>
      </x:c>
      <x:c r="C21" s="2" t="str">
        <x:v>dossier</x:v>
      </x:c>
      <x:c r="D21" s="19" t="n">
        <x:v>1</x:v>
      </x:c>
      <x:c r="E21" s="19" t="n">
        <x:v>1</x:v>
      </x:c>
      <x:c r="F21" s="19" t="n">
        <x:v>1</x:v>
      </x:c>
      <x:c r="G21" s="19" t="n">
        <x:v>1</x:v>
      </x:c>
      <x:c r="H21" s="19" t="n">
        <x:v>1</x:v>
      </x:c>
      <x:c r="I21" s="19" t="n">
        <x:v>3</x:v>
      </x:c>
      <x:c r="J21" s="19" t="n">
        <x:v>3</x:v>
      </x:c>
      <x:c r="K21" s="19" t="n">
        <x:v>3</x:v>
      </x:c>
      <x:c r="L21" s="19" t="n">
        <x:v>3</x:v>
      </x:c>
      <x:c r="M21" s="19" t="n">
        <x:v>3</x:v>
      </x:c>
      <x:c r="N21" s="19" t="n">
        <x:v>2</x:v>
      </x:c>
      <x:c r="O21" s="19" t="n">
        <x:v>3</x:v>
      </x:c>
      <x:c r="P21" s="19" t="n">
        <x:v>2</x:v>
      </x:c>
      <x:c r="Q21" s="19" t="n">
        <x:v>1</x:v>
      </x:c>
      <x:c r="R21" s="19" t="n">
        <x:v>3</x:v>
      </x:c>
      <x:c r="S21" s="19" t="n">
        <x:v>3</x:v>
      </x:c>
      <x:c r="T21" s="19" t="n">
        <x:v>3</x:v>
      </x:c>
      <x:c r="U21" s="19" t="n">
        <x:v>3</x:v>
      </x:c>
      <x:c r="V21" s="19" t="n">
        <x:v>3</x:v>
      </x:c>
      <x:c r="W21" s="19" t="n">
        <x:v>1</x:v>
      </x:c>
      <x:c r="X21" s="19" t="n">
        <x:v>2</x:v>
      </x:c>
      <x:c r="Y21" s="20" t="n">
        <x:v>220</x:v>
      </x:c>
      <x:c r="Z21" s="20" t="n">
        <x:v>45</x:v>
      </x:c>
      <x:c r="AA21" s="21" t="n">
        <x:v>0.04</x:v>
      </x:c>
      <x:c r="AB21" s="21" t="n">
        <x:v>0.03</x:v>
      </x:c>
      <x:c r="AC21" s="20" t="n">
        <x:v>3</x:v>
      </x:c>
      <x:c r="AD21" s="20" t="n">
        <x:v>30</x:v>
      </x:c>
      <x:c r="AE21" s="20" t="n">
        <x:v>2</x:v>
      </x:c>
      <x:c r="AF21" s="20" t="n">
        <x:v>3</x:v>
      </x:c>
      <x:c r="AG21" s="20" t="n">
        <x:v>0.15</x:v>
      </x:c>
      <x:c r="AH21" s="20" t="n">
        <x:v>1</x:v>
      </x:c>
      <x:c r="AI21" s="20" t="n">
        <x:v>100</x:v>
      </x:c>
      <x:c r="AJ21" s="20" t="n">
        <x:v>10</x:v>
      </x:c>
      <x:c r="AK21" s="20" t="n">
        <x:v>0.5</x:v>
      </x:c>
      <x:c r="AL21" s="20" t="n">
        <x:v>12</x:v>
      </x:c>
      <x:c r="AM21" s="10" t="str">
        <x:v>Teşvik danışmanı ofis sahibi</x:v>
      </x:c>
      <x:c r="AN21" s="10" t="str">
        <x:v>Yeni şirket/program ön değerlendirmesi</x:v>
      </x:c>
      <x:c r="AO21" s="10" t="str">
        <x:v>Danışman örnek dosyası ve tek program rehberi</x:v>
      </x:c>
      <x:c r="AP21" s="22" t="str">
        <x:v>Resmî source/expert publish</x:v>
      </x:c>
      <x:c r="AQ21" s="22" t="str">
        <x:v>Kaynak-belge gözlemi; müşteri/tahsilat ve dış pilot doğrulanmadı</x:v>
      </x:c>
      <x:c r="AR21" s="22" t="str">
        <x:v>Çok-müşteri workflow ikinci rota</x:v>
      </x:c>
      <x:c r="AS21" s="22" t="str">
        <x:v>Resmî source/expert publish için tek sentetik/izinli örnekte kabul kaydı.</x:v>
      </x:c>
      <x:c r="AT21" s="17" t="n">
        <x:v>0</x:v>
      </x:c>
    </x:row>
    <x:row r="22" ht="58" customHeight="1">
      <x:c r="A22" s="2" t="str">
        <x:v>Aile-18</x:v>
      </x:c>
      <x:c r="B22" s="2" t="str">
        <x:v>Devpanel</x:v>
      </x:c>
      <x:c r="C22" s="2" t="str">
        <x:v>internal</x:v>
      </x:c>
      <x:c r="D22" s="19" t="n">
        <x:v>0</x:v>
      </x:c>
      <x:c r="E22" s="19" t="n">
        <x:v>0</x:v>
      </x:c>
      <x:c r="F22" s="19" t="n">
        <x:v>0</x:v>
      </x:c>
      <x:c r="G22" s="19" t="n">
        <x:v>0</x:v>
      </x:c>
      <x:c r="H22" s="19" t="n">
        <x:v>0</x:v>
      </x:c>
      <x:c r="I22" s="19" t="n">
        <x:v>1</x:v>
      </x:c>
      <x:c r="J22" s="19" t="n">
        <x:v>1</x:v>
      </x:c>
      <x:c r="K22" s="19" t="n">
        <x:v>2</x:v>
      </x:c>
      <x:c r="L22" s="19" t="n">
        <x:v>1</x:v>
      </x:c>
      <x:c r="M22" s="19" t="n">
        <x:v>1</x:v>
      </x:c>
      <x:c r="N22" s="19" t="n">
        <x:v>0</x:v>
      </x:c>
      <x:c r="O22" s="19" t="n">
        <x:v>2</x:v>
      </x:c>
      <x:c r="P22" s="19" t="n">
        <x:v>0</x:v>
      </x:c>
      <x:c r="Q22" s="19" t="n">
        <x:v>2</x:v>
      </x:c>
      <x:c r="R22" s="19" t="n">
        <x:v>2</x:v>
      </x:c>
      <x:c r="S22" s="19" t="n">
        <x:v>2</x:v>
      </x:c>
      <x:c r="T22" s="19" t="n">
        <x:v>2</x:v>
      </x:c>
      <x:c r="U22" s="19" t="n">
        <x:v>1</x:v>
      </x:c>
      <x:c r="V22" s="19" t="n">
        <x:v>2</x:v>
      </x:c>
      <x:c r="W22" s="19" t="n">
        <x:v>2</x:v>
      </x:c>
      <x:c r="X22" s="19" t="n">
        <x:v>2</x:v>
      </x:c>
      <x:c r="Y22" s="20" t="n">
        <x:v>0</x:v>
      </x:c>
      <x:c r="Z22" s="20" t="n">
        <x:v>0</x:v>
      </x:c>
      <x:c r="AA22" s="21" t="n">
        <x:v>0</x:v>
      </x:c>
      <x:c r="AB22" s="21" t="n">
        <x:v>0</x:v>
      </x:c>
      <x:c r="AC22" s="20" t="n">
        <x:v>0</x:v>
      </x:c>
      <x:c r="AD22" s="20" t="n">
        <x:v>0</x:v>
      </x:c>
      <x:c r="AE22" s="20" t="n">
        <x:v>0</x:v>
      </x:c>
      <x:c r="AF22" s="20" t="n">
        <x:v>0</x:v>
      </x:c>
      <x:c r="AG22" s="20" t="n">
        <x:v>0</x:v>
      </x:c>
      <x:c r="AH22" s="20" t="n">
        <x:v>1</x:v>
      </x:c>
      <x:c r="AI22" s="20" t="n">
        <x:v>0</x:v>
      </x:c>
      <x:c r="AJ22" s="20" t="n">
        <x:v>0</x:v>
      </x:c>
      <x:c r="AK22" s="20" t="n">
        <x:v>0</x:v>
      </x:c>
      <x:c r="AL22" s="20" t="n">
        <x:v>0</x:v>
      </x:c>
      <x:c r="AM22" s="10" t="str">
        <x:v>İç uygulama geliştiricisi</x:v>
      </x:c>
      <x:c r="AN22" s="10" t="str">
        <x:v>İç panel tasarımı</x:v>
      </x:c>
      <x:c r="AO22" s="10" t="str">
        <x:v>Mevcut ürün repo örneği</x:v>
      </x:c>
      <x:c r="AP22" s="22" t="str">
        <x:v>Gerçek veri adapter yok</x:v>
      </x:c>
      <x:c r="AQ22" s="22" t="str">
        <x:v>Kaynak-belge gözlemi; müşteri/tahsilat ve dış pilot doğrulanmadı</x:v>
      </x:c>
      <x:c r="AR22" s="22" t="str">
        <x:v>Generic admin ürün satışı ana rota değil</x:v>
      </x:c>
      <x:c r="AS22" s="22" t="str">
        <x:v>Gerçek veri adapter yok için tek sentetik/izinli örnekte kabul kaydı.</x:v>
      </x:c>
      <x:c r="AT22" s="17" t="n">
        <x:v>0</x:v>
      </x:c>
    </x:row>
    <x:row r="23" ht="58" customHeight="1">
      <x:c r="A23" s="2" t="str">
        <x:v>Aile-19</x:v>
      </x:c>
      <x:c r="B23" s="2" t="str">
        <x:v>E Menüm varlığı</x:v>
      </x:c>
      <x:c r="C23" s="2" t="str">
        <x:v>internal</x:v>
      </x:c>
      <x:c r="D23" s="19" t="n">
        <x:v>0</x:v>
      </x:c>
      <x:c r="E23" s="19" t="n">
        <x:v>0</x:v>
      </x:c>
      <x:c r="F23" s="19" t="n">
        <x:v>0</x:v>
      </x:c>
      <x:c r="G23" s="19" t="n">
        <x:v>0</x:v>
      </x:c>
      <x:c r="H23" s="19" t="n">
        <x:v>0</x:v>
      </x:c>
      <x:c r="I23" s="19" t="n">
        <x:v>1</x:v>
      </x:c>
      <x:c r="J23" s="19" t="n">
        <x:v>1</x:v>
      </x:c>
      <x:c r="K23" s="19" t="n">
        <x:v>2</x:v>
      </x:c>
      <x:c r="L23" s="19" t="n">
        <x:v>1</x:v>
      </x:c>
      <x:c r="M23" s="19" t="n">
        <x:v>1</x:v>
      </x:c>
      <x:c r="N23" s="19" t="n">
        <x:v>0</x:v>
      </x:c>
      <x:c r="O23" s="19" t="n">
        <x:v>2</x:v>
      </x:c>
      <x:c r="P23" s="19" t="n">
        <x:v>0</x:v>
      </x:c>
      <x:c r="Q23" s="19" t="n">
        <x:v>2</x:v>
      </x:c>
      <x:c r="R23" s="19" t="n">
        <x:v>3</x:v>
      </x:c>
      <x:c r="S23" s="19" t="n">
        <x:v>3</x:v>
      </x:c>
      <x:c r="T23" s="19" t="n">
        <x:v>2</x:v>
      </x:c>
      <x:c r="U23" s="19" t="n">
        <x:v>2</x:v>
      </x:c>
      <x:c r="V23" s="19" t="n">
        <x:v>2</x:v>
      </x:c>
      <x:c r="W23" s="19" t="n">
        <x:v>2</x:v>
      </x:c>
      <x:c r="X23" s="19" t="n">
        <x:v>2</x:v>
      </x:c>
      <x:c r="Y23" s="20" t="n">
        <x:v>0</x:v>
      </x:c>
      <x:c r="Z23" s="20" t="n">
        <x:v>0</x:v>
      </x:c>
      <x:c r="AA23" s="21" t="n">
        <x:v>0</x:v>
      </x:c>
      <x:c r="AB23" s="21" t="n">
        <x:v>0</x:v>
      </x:c>
      <x:c r="AC23" s="20" t="n">
        <x:v>0</x:v>
      </x:c>
      <x:c r="AD23" s="20" t="n">
        <x:v>0</x:v>
      </x:c>
      <x:c r="AE23" s="20" t="n">
        <x:v>0</x:v>
      </x:c>
      <x:c r="AF23" s="20" t="n">
        <x:v>0</x:v>
      </x:c>
      <x:c r="AG23" s="20" t="n">
        <x:v>0</x:v>
      </x:c>
      <x:c r="AH23" s="20" t="n">
        <x:v>1</x:v>
      </x:c>
      <x:c r="AI23" s="20" t="n">
        <x:v>0</x:v>
      </x:c>
      <x:c r="AJ23" s="20" t="n">
        <x:v>0</x:v>
      </x:c>
      <x:c r="AK23" s="20" t="n">
        <x:v>0</x:v>
      </x:c>
      <x:c r="AL23" s="20" t="n">
        <x:v>0</x:v>
      </x:c>
      <x:c r="AM23" s="10" t="str">
        <x:v>Restoran ürün lead</x:v>
      </x:c>
      <x:c r="AN23" s="10" t="str">
        <x:v>Menu approval geliştirmesi</x:v>
      </x:c>
      <x:c r="AO23" s="10" t="str">
        <x:v>Zabuno ürün süreci</x:v>
      </x:c>
      <x:c r="AP23" s="22" t="str">
        <x:v>Canonical uygulama seçimi</x:v>
      </x:c>
      <x:c r="AQ23" s="22" t="str">
        <x:v>Kaynak-belge gözlemi; müşteri/tahsilat ve dış pilot doğrulanmadı</x:v>
      </x:c>
      <x:c r="AR23" s="22" t="str">
        <x:v>İkinci SaaS açılmaz; Django kurulum koşullu</x:v>
      </x:c>
      <x:c r="AS23" s="22" t="str">
        <x:v>Canonical uygulama seçimi için tek sentetik/izinli örnekte kabul kaydı.</x:v>
      </x:c>
      <x:c r="AT23" s="17" t="n">
        <x:v>0</x:v>
      </x:c>
    </x:row>
    <x:row r="24" ht="58" customHeight="1">
      <x:c r="A24" s="2" t="str">
        <x:v>Aile-20</x:v>
      </x:c>
      <x:c r="B24" s="2" t="str">
        <x:v>Eklenti keşif paketi</x:v>
      </x:c>
      <x:c r="C24" s="2" t="str">
        <x:v>kit</x:v>
      </x:c>
      <x:c r="D24" s="19" t="n">
        <x:v>1</x:v>
      </x:c>
      <x:c r="E24" s="19" t="n">
        <x:v>1</x:v>
      </x:c>
      <x:c r="F24" s="19" t="n">
        <x:v>1</x:v>
      </x:c>
      <x:c r="G24" s="19" t="n">
        <x:v>1</x:v>
      </x:c>
      <x:c r="H24" s="19" t="n">
        <x:v>1</x:v>
      </x:c>
      <x:c r="I24" s="19" t="n">
        <x:v>2</x:v>
      </x:c>
      <x:c r="J24" s="19" t="n">
        <x:v>2</x:v>
      </x:c>
      <x:c r="K24" s="19" t="n">
        <x:v>2</x:v>
      </x:c>
      <x:c r="L24" s="19" t="n">
        <x:v>2</x:v>
      </x:c>
      <x:c r="M24" s="19" t="n">
        <x:v>2</x:v>
      </x:c>
      <x:c r="N24" s="19" t="n">
        <x:v>1</x:v>
      </x:c>
      <x:c r="O24" s="19" t="n">
        <x:v>2</x:v>
      </x:c>
      <x:c r="P24" s="19" t="n">
        <x:v>3</x:v>
      </x:c>
      <x:c r="Q24" s="19" t="n">
        <x:v>3</x:v>
      </x:c>
      <x:c r="R24" s="19" t="n">
        <x:v>2</x:v>
      </x:c>
      <x:c r="S24" s="19" t="n">
        <x:v>2</x:v>
      </x:c>
      <x:c r="T24" s="19" t="n">
        <x:v>3</x:v>
      </x:c>
      <x:c r="U24" s="19" t="n">
        <x:v>2</x:v>
      </x:c>
      <x:c r="V24" s="19" t="n">
        <x:v>2</x:v>
      </x:c>
      <x:c r="W24" s="19" t="n">
        <x:v>2</x:v>
      </x:c>
      <x:c r="X24" s="19" t="n">
        <x:v>2</x:v>
      </x:c>
      <x:c r="Y24" s="20" t="n">
        <x:v>39</x:v>
      </x:c>
      <x:c r="Z24" s="20" t="n">
        <x:v>2</x:v>
      </x:c>
      <x:c r="AA24" s="21" t="n">
        <x:v>0.06</x:v>
      </x:c>
      <x:c r="AB24" s="21" t="n">
        <x:v>0.04</x:v>
      </x:c>
      <x:c r="AC24" s="20" t="n">
        <x:v>3</x:v>
      </x:c>
      <x:c r="AD24" s="20" t="n">
        <x:v>30</x:v>
      </x:c>
      <x:c r="AE24" s="20" t="n">
        <x:v>0.25</x:v>
      </x:c>
      <x:c r="AF24" s="20" t="n">
        <x:v>0.1</x:v>
      </x:c>
      <x:c r="AG24" s="20" t="n">
        <x:v>0.1</x:v>
      </x:c>
      <x:c r="AH24" s="20" t="n">
        <x:v>1</x:v>
      </x:c>
      <x:c r="AI24" s="20" t="n">
        <x:v>75</x:v>
      </x:c>
      <x:c r="AJ24" s="20" t="n">
        <x:v>8</x:v>
      </x:c>
      <x:c r="AK24" s="20" t="n">
        <x:v>1</x:v>
      </x:c>
      <x:c r="AL24" s="20" t="n">
        <x:v>15</x:v>
      </x:c>
      <x:c r="AM24" s="10" t="str">
        <x:v>Solo plugin geliştirici</x:v>
      </x:c>
      <x:c r="AN24" s="10" t="str">
        <x:v>Yeni ürün nişi seçimi</x:v>
      </x:c>
      <x:c r="AO24" s="10" t="str">
        <x:v>Özgün örnek fırsat incelemesi</x:v>
      </x:c>
      <x:c r="AP24" s="22" t="str">
        <x:v>Dış tekrarlı satın alma</x:v>
      </x:c>
      <x:c r="AQ24" s="22" t="str">
        <x:v>Kaynak-belge gözlemi; müşteri/tahsilat ve dış pilot doğrulanmadı</x:v>
      </x:c>
      <x:c r="AR24" s="22" t="str">
        <x:v>Bülten ancak gerçek repeat talep ile</x:v>
      </x:c>
      <x:c r="AS24" s="22" t="str">
        <x:v>Dış tekrarlı satın alma için tek sentetik/izinli örnekte kabul kaydı.</x:v>
      </x:c>
      <x:c r="AT24" s="17" t="n">
        <x:v>0</x:v>
      </x:c>
    </x:row>
    <x:row r="25" ht="58" customHeight="1">
      <x:c r="A25" s="2" t="str">
        <x:v>Aile-21</x:v>
      </x:c>
      <x:c r="B25" s="2" t="str">
        <x:v>Kapsam dışı kayıt</x:v>
      </x:c>
      <x:c r="C25" s="2" t="str">
        <x:v>internal</x:v>
      </x:c>
      <x:c r="D25" s="19" t="n">
        <x:v>0</x:v>
      </x:c>
      <x:c r="E25" s="19" t="n">
        <x:v>0</x:v>
      </x:c>
      <x:c r="F25" s="19" t="n">
        <x:v>0</x:v>
      </x:c>
      <x:c r="G25" s="19" t="n">
        <x:v>0</x:v>
      </x:c>
      <x:c r="H25" s="19" t="n">
        <x:v>0</x:v>
      </x:c>
      <x:c r="I25" s="19" t="n">
        <x:v>0</x:v>
      </x:c>
      <x:c r="J25" s="19" t="n">
        <x:v>0</x:v>
      </x:c>
      <x:c r="K25" s="19" t="n">
        <x:v>0</x:v>
      </x:c>
      <x:c r="L25" s="19" t="n">
        <x:v>0</x:v>
      </x:c>
      <x:c r="M25" s="19" t="n">
        <x:v>0</x:v>
      </x:c>
      <x:c r="N25" s="19" t="n">
        <x:v>0</x:v>
      </x:c>
      <x:c r="O25" s="19" t="n">
        <x:v>0</x:v>
      </x:c>
      <x:c r="P25" s="19" t="n">
        <x:v>0</x:v>
      </x:c>
      <x:c r="Q25" s="19" t="n">
        <x:v>0</x:v>
      </x:c>
      <x:c r="R25" s="19" t="n">
        <x:v>0</x:v>
      </x:c>
      <x:c r="S25" s="19" t="n">
        <x:v>0</x:v>
      </x:c>
      <x:c r="T25" s="19" t="n">
        <x:v>0</x:v>
      </x:c>
      <x:c r="U25" s="19" t="n">
        <x:v>0</x:v>
      </x:c>
      <x:c r="V25" s="19" t="n">
        <x:v>0</x:v>
      </x:c>
      <x:c r="W25" s="19" t="n">
        <x:v>0</x:v>
      </x:c>
      <x:c r="X25" s="19" t="n">
        <x:v>0</x:v>
      </x:c>
      <x:c r="Y25" s="20" t="n">
        <x:v>0</x:v>
      </x:c>
      <x:c r="Z25" s="20" t="n">
        <x:v>0</x:v>
      </x:c>
      <x:c r="AA25" s="21" t="n">
        <x:v>0</x:v>
      </x:c>
      <x:c r="AB25" s="21" t="n">
        <x:v>0</x:v>
      </x:c>
      <x:c r="AC25" s="20" t="n">
        <x:v>0</x:v>
      </x:c>
      <x:c r="AD25" s="20" t="n">
        <x:v>0</x:v>
      </x:c>
      <x:c r="AE25" s="20" t="n">
        <x:v>0</x:v>
      </x:c>
      <x:c r="AF25" s="20" t="n">
        <x:v>0</x:v>
      </x:c>
      <x:c r="AG25" s="20" t="n">
        <x:v>0</x:v>
      </x:c>
      <x:c r="AH25" s="20" t="n">
        <x:v>1</x:v>
      </x:c>
      <x:c r="AI25" s="20" t="n">
        <x:v>0</x:v>
      </x:c>
      <x:c r="AJ25" s="20" t="n">
        <x:v>0</x:v>
      </x:c>
      <x:c r="AK25" s="20" t="n">
        <x:v>0</x:v>
      </x:c>
      <x:c r="AL25" s="20" t="n">
        <x:v>0</x:v>
      </x:c>
      <x:c r="AM25" s="10" t="str">
        <x:v>Kapsam denetimi</x:v>
      </x:c>
      <x:c r="AN25" s="10" t="str">
        <x:v>Katalog sınırı</x:v>
      </x:c>
      <x:c r="AO25" s="10" t="str">
        <x:v>Scope ledger</x:v>
      </x:c>
      <x:c r="AP25" s="22" t="str">
        <x:v>Yayın kapsamı dışı</x:v>
      </x:c>
      <x:c r="AQ25" s="22" t="str">
        <x:v>Kaynak-belge gözlemi; müşteri/tahsilat ve dış pilot doğrulanmadı</x:v>
      </x:c>
      <x:c r="AR25" s="22" t="str">
        <x:v>İç hassas bağlam kamu modeline taşınmaz</x:v>
      </x:c>
      <x:c r="AS25" s="22" t="str">
        <x:v>Yayın kapsamı dışı için tek sentetik/izinli örnekte kabul kaydı.</x:v>
      </x:c>
      <x:c r="AT25" s="17" t="n">
        <x:v>0</x:v>
      </x:c>
    </x:row>
    <x:row r="26" ht="58" customHeight="1">
      <x:c r="A26" s="2" t="str">
        <x:v>Aile-22</x:v>
      </x:c>
      <x:c r="B26" s="2" t="str">
        <x:v>Frontend Atlası</x:v>
      </x:c>
      <x:c r="C26" s="2" t="str">
        <x:v>kit</x:v>
      </x:c>
      <x:c r="D26" s="19" t="n">
        <x:v>1</x:v>
      </x:c>
      <x:c r="E26" s="19" t="n">
        <x:v>1</x:v>
      </x:c>
      <x:c r="F26" s="19" t="n">
        <x:v>1</x:v>
      </x:c>
      <x:c r="G26" s="19" t="n">
        <x:v>1</x:v>
      </x:c>
      <x:c r="H26" s="19" t="n">
        <x:v>1</x:v>
      </x:c>
      <x:c r="I26" s="19" t="n">
        <x:v>2</x:v>
      </x:c>
      <x:c r="J26" s="19" t="n">
        <x:v>2</x:v>
      </x:c>
      <x:c r="K26" s="19" t="n">
        <x:v>3</x:v>
      </x:c>
      <x:c r="L26" s="19" t="n">
        <x:v>2</x:v>
      </x:c>
      <x:c r="M26" s="19" t="n">
        <x:v>2</x:v>
      </x:c>
      <x:c r="N26" s="19" t="n">
        <x:v>2</x:v>
      </x:c>
      <x:c r="O26" s="19" t="n">
        <x:v>3</x:v>
      </x:c>
      <x:c r="P26" s="19" t="n">
        <x:v>3</x:v>
      </x:c>
      <x:c r="Q26" s="19" t="n">
        <x:v>3</x:v>
      </x:c>
      <x:c r="R26" s="19" t="n">
        <x:v>3</x:v>
      </x:c>
      <x:c r="S26" s="19" t="n">
        <x:v>3</x:v>
      </x:c>
      <x:c r="T26" s="19" t="n">
        <x:v>3</x:v>
      </x:c>
      <x:c r="U26" s="19" t="n">
        <x:v>2</x:v>
      </x:c>
      <x:c r="V26" s="19" t="n">
        <x:v>3</x:v>
      </x:c>
      <x:c r="W26" s="19" t="n">
        <x:v>3</x:v>
      </x:c>
      <x:c r="X26" s="19" t="n">
        <x:v>3</x:v>
      </x:c>
      <x:c r="Y26" s="20" t="n">
        <x:v>39</x:v>
      </x:c>
      <x:c r="Z26" s="20" t="n">
        <x:v>2</x:v>
      </x:c>
      <x:c r="AA26" s="21" t="n">
        <x:v>0.06</x:v>
      </x:c>
      <x:c r="AB26" s="21" t="n">
        <x:v>0.04</x:v>
      </x:c>
      <x:c r="AC26" s="20" t="n">
        <x:v>3</x:v>
      </x:c>
      <x:c r="AD26" s="20" t="n">
        <x:v>30</x:v>
      </x:c>
      <x:c r="AE26" s="20" t="n">
        <x:v>0.25</x:v>
      </x:c>
      <x:c r="AF26" s="20" t="n">
        <x:v>0.1</x:v>
      </x:c>
      <x:c r="AG26" s="20" t="n">
        <x:v>0.1</x:v>
      </x:c>
      <x:c r="AH26" s="20" t="n">
        <x:v>1</x:v>
      </x:c>
      <x:c r="AI26" s="20" t="n">
        <x:v>75</x:v>
      </x:c>
      <x:c r="AJ26" s="20" t="n">
        <x:v>8</x:v>
      </x:c>
      <x:c r="AK26" s="20" t="n">
        <x:v>1</x:v>
      </x:c>
      <x:c r="AL26" s="20" t="n">
        <x:v>15</x:v>
      </x:c>
      <x:c r="AM26" s="10" t="str">
        <x:v>Frontend eğitmeni</x:v>
      </x:c>
      <x:c r="AN26" s="10" t="str">
        <x:v>Yeni dönem ders hazırlığı</x:v>
      </x:c>
      <x:c r="AO26" s="10" t="str">
        <x:v>Ücretsiz doğrulanmış laboratuvar</x:v>
      </x:c>
      <x:c r="AP26" s="22" t="str">
        <x:v>İçerik hakları ve dış ders acceptance</x:v>
      </x:c>
      <x:c r="AQ26" s="22" t="str">
        <x:v>Kaynak-belge gözlemi; müşteri/tahsilat ve dış pilot doğrulanmadı</x:v>
      </x:c>
      <x:c r="AR26" s="22" t="str">
        <x:v>Ücretsiz ders→paid özgün kit</x:v>
      </x:c>
      <x:c r="AS26" s="22" t="str">
        <x:v>İçerik hakları ve dış ders acceptance için tek sentetik/izinli örnekte kabul kaydı.</x:v>
      </x:c>
      <x:c r="AT26" s="17" t="n">
        <x:v>0</x:v>
      </x:c>
    </x:row>
    <x:row r="27" ht="58" customHeight="1">
      <x:c r="A27" s="2" t="str">
        <x:v>Aile-23</x:v>
      </x:c>
      <x:c r="B27" s="2" t="str">
        <x:v>G11n QA</x:v>
      </x:c>
      <x:c r="C27" s="2" t="str">
        <x:v>service</x:v>
      </x:c>
      <x:c r="D27" s="19" t="n">
        <x:v>1</x:v>
      </x:c>
      <x:c r="E27" s="19" t="n">
        <x:v>1</x:v>
      </x:c>
      <x:c r="F27" s="19" t="n">
        <x:v>1</x:v>
      </x:c>
      <x:c r="G27" s="19" t="n">
        <x:v>1</x:v>
      </x:c>
      <x:c r="H27" s="19" t="n">
        <x:v>1</x:v>
      </x:c>
      <x:c r="I27" s="19" t="n">
        <x:v>3</x:v>
      </x:c>
      <x:c r="J27" s="19" t="n">
        <x:v>3</x:v>
      </x:c>
      <x:c r="K27" s="19" t="n">
        <x:v>3</x:v>
      </x:c>
      <x:c r="L27" s="19" t="n">
        <x:v>3</x:v>
      </x:c>
      <x:c r="M27" s="19" t="n">
        <x:v>3</x:v>
      </x:c>
      <x:c r="N27" s="19" t="n">
        <x:v>2</x:v>
      </x:c>
      <x:c r="O27" s="19" t="n">
        <x:v>3</x:v>
      </x:c>
      <x:c r="P27" s="19" t="n">
        <x:v>2</x:v>
      </x:c>
      <x:c r="Q27" s="19" t="n">
        <x:v>1</x:v>
      </x:c>
      <x:c r="R27" s="19" t="n">
        <x:v>3</x:v>
      </x:c>
      <x:c r="S27" s="19" t="n">
        <x:v>2</x:v>
      </x:c>
      <x:c r="T27" s="19" t="n">
        <x:v>3</x:v>
      </x:c>
      <x:c r="U27" s="19" t="n">
        <x:v>3</x:v>
      </x:c>
      <x:c r="V27" s="19" t="n">
        <x:v>3</x:v>
      </x:c>
      <x:c r="W27" s="19" t="n">
        <x:v>2</x:v>
      </x:c>
      <x:c r="X27" s="19" t="n">
        <x:v>3</x:v>
      </x:c>
      <x:c r="Y27" s="20" t="n">
        <x:v>400</x:v>
      </x:c>
      <x:c r="Z27" s="20" t="n">
        <x:v>100</x:v>
      </x:c>
      <x:c r="AA27" s="21" t="n">
        <x:v>0.04</x:v>
      </x:c>
      <x:c r="AB27" s="21" t="n">
        <x:v>0.02</x:v>
      </x:c>
      <x:c r="AC27" s="20" t="n">
        <x:v>2</x:v>
      </x:c>
      <x:c r="AD27" s="20" t="n">
        <x:v>18</x:v>
      </x:c>
      <x:c r="AE27" s="20" t="n">
        <x:v>3</x:v>
      </x:c>
      <x:c r="AF27" s="20" t="n">
        <x:v>8</x:v>
      </x:c>
      <x:c r="AG27" s="20" t="n">
        <x:v>0.5</x:v>
      </x:c>
      <x:c r="AH27" s="20" t="n">
        <x:v>1</x:v>
      </x:c>
      <x:c r="AI27" s="20" t="n">
        <x:v>150</x:v>
      </x:c>
      <x:c r="AJ27" s="20" t="n">
        <x:v>15</x:v>
      </x:c>
      <x:c r="AK27" s="20" t="n">
        <x:v>0.5</x:v>
      </x:c>
      <x:c r="AL27" s="20" t="n">
        <x:v>4</x:v>
      </x:c>
      <x:c r="AM27" s="10" t="str">
        <x:v>Frontend/QA lead</x:v>
      </x:c>
      <x:c r="AN27" s="10" t="str">
        <x:v>Yeni locale release</x:v>
      </x:c>
      <x:c r="AO27" s="10" t="str">
        <x:v>Public pseudo-locale fixture</x:v>
      </x:c>
      <x:c r="AP27" s="22" t="str">
        <x:v>Tek route ve supported runtime</x:v>
      </x:c>
      <x:c r="AQ27" s="22" t="str">
        <x:v>Kaynak-belge gözlemi; müşteri/tahsilat ve dış pilot doğrulanmadı</x:v>
      </x:c>
      <x:c r="AR27" s="22" t="str">
        <x:v>Hizmet tekrarı→CLI/Action</x:v>
      </x:c>
      <x:c r="AS27" s="22" t="str">
        <x:v>Tek route ve supported runtime için tek sentetik/izinli örnekte kabul kaydı.</x:v>
      </x:c>
      <x:c r="AT27" s="17" t="n">
        <x:v>0</x:v>
      </x:c>
    </x:row>
    <x:row r="28" ht="58" customHeight="1">
      <x:c r="A28" s="2" t="str">
        <x:v>Aile-24</x:v>
      </x:c>
      <x:c r="B28" s="2" t="str">
        <x:v>Hakediş mutabakatı</x:v>
      </x:c>
      <x:c r="C28" s="2" t="str">
        <x:v>dossier</x:v>
      </x:c>
      <x:c r="D28" s="19" t="n">
        <x:v>1</x:v>
      </x:c>
      <x:c r="E28" s="19" t="n">
        <x:v>1</x:v>
      </x:c>
      <x:c r="F28" s="19" t="n">
        <x:v>1</x:v>
      </x:c>
      <x:c r="G28" s="19" t="n">
        <x:v>1</x:v>
      </x:c>
      <x:c r="H28" s="19" t="n">
        <x:v>1</x:v>
      </x:c>
      <x:c r="I28" s="19" t="n">
        <x:v>3</x:v>
      </x:c>
      <x:c r="J28" s="19" t="n">
        <x:v>3</x:v>
      </x:c>
      <x:c r="K28" s="19" t="n">
        <x:v>3</x:v>
      </x:c>
      <x:c r="L28" s="19" t="n">
        <x:v>3</x:v>
      </x:c>
      <x:c r="M28" s="19" t="n">
        <x:v>3</x:v>
      </x:c>
      <x:c r="N28" s="19" t="n">
        <x:v>2</x:v>
      </x:c>
      <x:c r="O28" s="19" t="n">
        <x:v>3</x:v>
      </x:c>
      <x:c r="P28" s="19" t="n">
        <x:v>2</x:v>
      </x:c>
      <x:c r="Q28" s="19" t="n">
        <x:v>1</x:v>
      </x:c>
      <x:c r="R28" s="19" t="n">
        <x:v>3</x:v>
      </x:c>
      <x:c r="S28" s="19" t="n">
        <x:v>3</x:v>
      </x:c>
      <x:c r="T28" s="19" t="n">
        <x:v>3</x:v>
      </x:c>
      <x:c r="U28" s="19" t="n">
        <x:v>3</x:v>
      </x:c>
      <x:c r="V28" s="19" t="n">
        <x:v>3</x:v>
      </x:c>
      <x:c r="W28" s="19" t="n">
        <x:v>2</x:v>
      </x:c>
      <x:c r="X28" s="19" t="n">
        <x:v>3</x:v>
      </x:c>
      <x:c r="Y28" s="20" t="n">
        <x:v>300</x:v>
      </x:c>
      <x:c r="Z28" s="20" t="n">
        <x:v>40</x:v>
      </x:c>
      <x:c r="AA28" s="21" t="n">
        <x:v>0.04</x:v>
      </x:c>
      <x:c r="AB28" s="21" t="n">
        <x:v>0.03</x:v>
      </x:c>
      <x:c r="AC28" s="20" t="n">
        <x:v>3</x:v>
      </x:c>
      <x:c r="AD28" s="20" t="n">
        <x:v>25</x:v>
      </x:c>
      <x:c r="AE28" s="20" t="n">
        <x:v>2</x:v>
      </x:c>
      <x:c r="AF28" s="20" t="n">
        <x:v>5</x:v>
      </x:c>
      <x:c r="AG28" s="20" t="n">
        <x:v>0.15</x:v>
      </x:c>
      <x:c r="AH28" s="20" t="n">
        <x:v>1</x:v>
      </x:c>
      <x:c r="AI28" s="20" t="n">
        <x:v>100</x:v>
      </x:c>
      <x:c r="AJ28" s="20" t="n">
        <x:v>10</x:v>
      </x:c>
      <x:c r="AK28" s="20" t="n">
        <x:v>0.5</x:v>
      </x:c>
      <x:c r="AL28" s="20" t="n">
        <x:v>12</x:v>
      </x:c>
      <x:c r="AM28" s="10" t="str">
        <x:v>Teknik ofis/finans buyer</x:v>
      </x:c>
      <x:c r="AN28" s="10" t="str">
        <x:v>Aylık hakediş kapanışı</x:v>
      </x:c>
      <x:c r="AO28" s="10" t="str">
        <x:v>SMMM/teknik ofis sentetik raporu</x:v>
      </x:c>
      <x:c r="AP28" s="22" t="str">
        <x:v>Yetkili dosya/uzman/hak</x:v>
      </x:c>
      <x:c r="AQ28" s="22" t="str">
        <x:v>Kaynak-belge gözlemi; müşteri/tahsilat ve dış pilot doğrulanmadı</x:v>
      </x:c>
      <x:c r="AR28" s="22" t="str">
        <x:v>SGK asgari işçilik ayrı parametre kapısı</x:v>
      </x:c>
      <x:c r="AS28" s="22" t="str">
        <x:v>Yetkili dosya/uzman/hak için tek sentetik/izinli örnekte kabul kaydı.</x:v>
      </x:c>
      <x:c r="AT28" s="17" t="n">
        <x:v>0</x:v>
      </x:c>
    </x:row>
    <x:row r="29" ht="58" customHeight="1">
      <x:c r="A29" s="2" t="str">
        <x:v>Aile-25</x:v>
      </x:c>
      <x:c r="B29" s="2" t="str">
        <x:v>B2B likidite teşhisi</x:v>
      </x:c>
      <x:c r="C29" s="2" t="str">
        <x:v>service</x:v>
      </x:c>
      <x:c r="D29" s="19" t="n">
        <x:v>1</x:v>
      </x:c>
      <x:c r="E29" s="19" t="n">
        <x:v>1</x:v>
      </x:c>
      <x:c r="F29" s="19" t="n">
        <x:v>1</x:v>
      </x:c>
      <x:c r="G29" s="19" t="n">
        <x:v>1</x:v>
      </x:c>
      <x:c r="H29" s="19" t="n">
        <x:v>1</x:v>
      </x:c>
      <x:c r="I29" s="19" t="n">
        <x:v>3</x:v>
      </x:c>
      <x:c r="J29" s="19" t="n">
        <x:v>3</x:v>
      </x:c>
      <x:c r="K29" s="19" t="n">
        <x:v>3</x:v>
      </x:c>
      <x:c r="L29" s="19" t="n">
        <x:v>2</x:v>
      </x:c>
      <x:c r="M29" s="19" t="n">
        <x:v>2</x:v>
      </x:c>
      <x:c r="N29" s="19" t="n">
        <x:v>1</x:v>
      </x:c>
      <x:c r="O29" s="19" t="n">
        <x:v>2</x:v>
      </x:c>
      <x:c r="P29" s="19" t="n">
        <x:v>2</x:v>
      </x:c>
      <x:c r="Q29" s="19" t="n">
        <x:v>0</x:v>
      </x:c>
      <x:c r="R29" s="19" t="n">
        <x:v>2</x:v>
      </x:c>
      <x:c r="S29" s="19" t="n">
        <x:v>1</x:v>
      </x:c>
      <x:c r="T29" s="19" t="n">
        <x:v>2</x:v>
      </x:c>
      <x:c r="U29" s="19" t="n">
        <x:v>1</x:v>
      </x:c>
      <x:c r="V29" s="19" t="n">
        <x:v>2</x:v>
      </x:c>
      <x:c r="W29" s="19" t="n">
        <x:v>1</x:v>
      </x:c>
      <x:c r="X29" s="19" t="n">
        <x:v>1</x:v>
      </x:c>
      <x:c r="Y29" s="20" t="n">
        <x:v>800</x:v>
      </x:c>
      <x:c r="Z29" s="20" t="n">
        <x:v>100</x:v>
      </x:c>
      <x:c r="AA29" s="21" t="n">
        <x:v>0.04</x:v>
      </x:c>
      <x:c r="AB29" s="21" t="n">
        <x:v>0.02</x:v>
      </x:c>
      <x:c r="AC29" s="20" t="n">
        <x:v>2</x:v>
      </x:c>
      <x:c r="AD29" s="20" t="n">
        <x:v>20</x:v>
      </x:c>
      <x:c r="AE29" s="20" t="n">
        <x:v>3</x:v>
      </x:c>
      <x:c r="AF29" s="20" t="n">
        <x:v>12</x:v>
      </x:c>
      <x:c r="AG29" s="20" t="n">
        <x:v>0.5</x:v>
      </x:c>
      <x:c r="AH29" s="20" t="n">
        <x:v>1</x:v>
      </x:c>
      <x:c r="AI29" s="20" t="n">
        <x:v>150</x:v>
      </x:c>
      <x:c r="AJ29" s="20" t="n">
        <x:v>15</x:v>
      </x:c>
      <x:c r="AK29" s="20" t="n">
        <x:v>0.5</x:v>
      </x:c>
      <x:c r="AL29" s="20" t="n">
        <x:v>3</x:v>
      </x:c>
      <x:c r="AM29" s="10" t="str">
        <x:v>B2B girişim kurucusu</x:v>
      </x:c>
      <x:c r="AN29" s="10" t="str">
        <x:v>Pazar yeri soğuk başlangıç</x:v>
      </x:c>
      <x:c r="AO29" s="10" t="str">
        <x:v>Anonim yöntem demo</x:v>
      </x:c>
      <x:c r="AP29" s="22" t="str">
        <x:v>Yöntem/code kullanım hakları</x:v>
      </x:c>
      <x:c r="AQ29" s="22" t="str">
        <x:v>Kaynak-belge gözlemi; müşteri/tahsilat ve dış pilot doğrulanmadı</x:v>
      </x:c>
      <x:c r="AR29" s="22" t="str">
        <x:v>Mevcut üçüncü taraf platform own venture değil</x:v>
      </x:c>
      <x:c r="AS29" s="22" t="str">
        <x:v>Yöntem/code kullanım hakları için tek sentetik/izinli örnekte kabul kaydı.</x:v>
      </x:c>
      <x:c r="AT29" s="17" t="n">
        <x:v>0</x:v>
      </x:c>
    </x:row>
    <x:row r="30" ht="58" customHeight="1">
      <x:c r="A30" s="2" t="str">
        <x:v>Aile-26</x:v>
      </x:c>
      <x:c r="B30" s="2" t="str">
        <x:v>Özgün karar notu</x:v>
      </x:c>
      <x:c r="C30" s="2" t="str">
        <x:v>dossier</x:v>
      </x:c>
      <x:c r="D30" s="19" t="n">
        <x:v>1</x:v>
      </x:c>
      <x:c r="E30" s="19" t="n">
        <x:v>1</x:v>
      </x:c>
      <x:c r="F30" s="19" t="n">
        <x:v>1</x:v>
      </x:c>
      <x:c r="G30" s="19" t="n">
        <x:v>1</x:v>
      </x:c>
      <x:c r="H30" s="19" t="n">
        <x:v>1</x:v>
      </x:c>
      <x:c r="I30" s="19" t="n">
        <x:v>3</x:v>
      </x:c>
      <x:c r="J30" s="19" t="n">
        <x:v>2</x:v>
      </x:c>
      <x:c r="K30" s="19" t="n">
        <x:v>3</x:v>
      </x:c>
      <x:c r="L30" s="19" t="n">
        <x:v>2</x:v>
      </x:c>
      <x:c r="M30" s="19" t="n">
        <x:v>2</x:v>
      </x:c>
      <x:c r="N30" s="19" t="n">
        <x:v>2</x:v>
      </x:c>
      <x:c r="O30" s="19" t="n">
        <x:v>3</x:v>
      </x:c>
      <x:c r="P30" s="19" t="n">
        <x:v>3</x:v>
      </x:c>
      <x:c r="Q30" s="19" t="n">
        <x:v>2</x:v>
      </x:c>
      <x:c r="R30" s="19" t="n">
        <x:v>3</x:v>
      </x:c>
      <x:c r="S30" s="19" t="n">
        <x:v>3</x:v>
      </x:c>
      <x:c r="T30" s="19" t="n">
        <x:v>3</x:v>
      </x:c>
      <x:c r="U30" s="19" t="n">
        <x:v>2</x:v>
      </x:c>
      <x:c r="V30" s="19" t="n">
        <x:v>3</x:v>
      </x:c>
      <x:c r="W30" s="19" t="n">
        <x:v>2</x:v>
      </x:c>
      <x:c r="X30" s="19" t="n">
        <x:v>3</x:v>
      </x:c>
      <x:c r="Y30" s="20" t="n">
        <x:v>160</x:v>
      </x:c>
      <x:c r="Z30" s="20" t="n">
        <x:v>25</x:v>
      </x:c>
      <x:c r="AA30" s="21" t="n">
        <x:v>0.04</x:v>
      </x:c>
      <x:c r="AB30" s="21" t="n">
        <x:v>0.03</x:v>
      </x:c>
      <x:c r="AC30" s="20" t="n">
        <x:v>3</x:v>
      </x:c>
      <x:c r="AD30" s="20" t="n">
        <x:v>25</x:v>
      </x:c>
      <x:c r="AE30" s="20" t="n">
        <x:v>2</x:v>
      </x:c>
      <x:c r="AF30" s="20" t="n">
        <x:v>2</x:v>
      </x:c>
      <x:c r="AG30" s="20" t="n">
        <x:v>0.15</x:v>
      </x:c>
      <x:c r="AH30" s="20" t="n">
        <x:v>1</x:v>
      </x:c>
      <x:c r="AI30" s="20" t="n">
        <x:v>100</x:v>
      </x:c>
      <x:c r="AJ30" s="20" t="n">
        <x:v>10</x:v>
      </x:c>
      <x:c r="AK30" s="20" t="n">
        <x:v>0.5</x:v>
      </x:c>
      <x:c r="AL30" s="20" t="n">
        <x:v>12</x:v>
      </x:c>
      <x:c r="AM30" s="10" t="str">
        <x:v>Danışman/facilitator</x:v>
      </x:c>
      <x:c r="AN30" s="10" t="str">
        <x:v>Müşteri karar oturumu</x:v>
      </x:c>
      <x:c r="AO30" s="10" t="str">
        <x:v>Özgün worksheet örneği</x:v>
      </x:c>
      <x:c r="AP30" s="22" t="str">
        <x:v>Özgün içerik hakları</x:v>
      </x:c>
      <x:c r="AQ30" s="22" t="str">
        <x:v>Kaynak-belge gözlemi; müşteri/tahsilat ve dış pilot doğrulanmadı</x:v>
      </x:c>
      <x:c r="AR30" s="22" t="str">
        <x:v>Ücretsiz AI kıyasından sonra version/review kit</x:v>
      </x:c>
      <x:c r="AS30" s="22" t="str">
        <x:v>Özgün içerik hakları için tek sentetik/izinli örnekte kabul kaydı.</x:v>
      </x:c>
      <x:c r="AT30" s="17" t="n">
        <x:v>0</x:v>
      </x:c>
    </x:row>
    <x:row r="31" ht="58" customHeight="1">
      <x:c r="A31" s="2" t="str">
        <x:v>Aile-27</x:v>
      </x:c>
      <x:c r="B31" s="2" t="str">
        <x:v>Çok dilli üretici site</x:v>
      </x:c>
      <x:c r="C31" s="2" t="str">
        <x:v>service</x:v>
      </x:c>
      <x:c r="D31" s="19" t="n">
        <x:v>1</x:v>
      </x:c>
      <x:c r="E31" s="19" t="n">
        <x:v>1</x:v>
      </x:c>
      <x:c r="F31" s="19" t="n">
        <x:v>1</x:v>
      </x:c>
      <x:c r="G31" s="19" t="n">
        <x:v>1</x:v>
      </x:c>
      <x:c r="H31" s="19" t="n">
        <x:v>1</x:v>
      </x:c>
      <x:c r="I31" s="19" t="n">
        <x:v>3</x:v>
      </x:c>
      <x:c r="J31" s="19" t="n">
        <x:v>3</x:v>
      </x:c>
      <x:c r="K31" s="19" t="n">
        <x:v>3</x:v>
      </x:c>
      <x:c r="L31" s="19" t="n">
        <x:v>3</x:v>
      </x:c>
      <x:c r="M31" s="19" t="n">
        <x:v>3</x:v>
      </x:c>
      <x:c r="N31" s="19" t="n">
        <x:v>2</x:v>
      </x:c>
      <x:c r="O31" s="19" t="n">
        <x:v>3</x:v>
      </x:c>
      <x:c r="P31" s="19" t="n">
        <x:v>2</x:v>
      </x:c>
      <x:c r="Q31" s="19" t="n">
        <x:v>1</x:v>
      </x:c>
      <x:c r="R31" s="19" t="n">
        <x:v>3</x:v>
      </x:c>
      <x:c r="S31" s="19" t="n">
        <x:v>3</x:v>
      </x:c>
      <x:c r="T31" s="19" t="n">
        <x:v>3</x:v>
      </x:c>
      <x:c r="U31" s="19" t="n">
        <x:v>2</x:v>
      </x:c>
      <x:c r="V31" s="19" t="n">
        <x:v>2</x:v>
      </x:c>
      <x:c r="W31" s="19" t="n">
        <x:v>2</x:v>
      </x:c>
      <x:c r="X31" s="19" t="n">
        <x:v>3</x:v>
      </x:c>
      <x:c r="Y31" s="20" t="n">
        <x:v>1800</x:v>
      </x:c>
      <x:c r="Z31" s="20" t="n">
        <x:v>100</x:v>
      </x:c>
      <x:c r="AA31" s="21" t="n">
        <x:v>0.04</x:v>
      </x:c>
      <x:c r="AB31" s="21" t="n">
        <x:v>0.02</x:v>
      </x:c>
      <x:c r="AC31" s="20" t="n">
        <x:v>2</x:v>
      </x:c>
      <x:c r="AD31" s="20" t="n">
        <x:v>15</x:v>
      </x:c>
      <x:c r="AE31" s="20" t="n">
        <x:v>3</x:v>
      </x:c>
      <x:c r="AF31" s="20" t="n">
        <x:v>35</x:v>
      </x:c>
      <x:c r="AG31" s="20" t="n">
        <x:v>0.5</x:v>
      </x:c>
      <x:c r="AH31" s="20" t="n">
        <x:v>1</x:v>
      </x:c>
      <x:c r="AI31" s="20" t="n">
        <x:v>150</x:v>
      </x:c>
      <x:c r="AJ31" s="20" t="n">
        <x:v>15</x:v>
      </x:c>
      <x:c r="AK31" s="20" t="n">
        <x:v>0.5</x:v>
      </x:c>
      <x:c r="AL31" s="20" t="n">
        <x:v>2</x:v>
      </x:c>
      <x:c r="AM31" s="10" t="str">
        <x:v>İhracatçı işletme owner</x:v>
      </x:c>
      <x:c r="AN31" s="10" t="str">
        <x:v>Yeni ülke/katalog yayın işi</x:v>
      </x:c>
      <x:c r="AO31" s="10" t="str">
        <x:v>İzinli anonim site örneği/OSB partner</x:v>
      </x:c>
      <x:c r="AP31" s="22" t="str">
        <x:v>Site içerik/medya kullanım izni</x:v>
      </x:c>
      <x:c r="AQ31" s="22" t="str">
        <x:v>Kaynak-belge gözlemi; müşteri/tahsilat ve dış pilot doğrulanmadı</x:v>
      </x:c>
      <x:c r="AR31" s="22" t="str">
        <x:v>Bakım tekrar işi ayrı kapsam</x:v>
      </x:c>
      <x:c r="AS31" s="22" t="str">
        <x:v>Site içerik/medya kullanım izni için tek sentetik/izinli örnekte kabul kaydı.</x:v>
      </x:c>
      <x:c r="AT31" s="17" t="n">
        <x:v>0</x:v>
      </x:c>
    </x:row>
    <x:row r="32" ht="58" customHeight="1">
      <x:c r="A32" s="2" t="str">
        <x:v>Aile-28</x:v>
      </x:c>
      <x:c r="B32" s="2" t="str">
        <x:v>LifeOS dar çıktı</x:v>
      </x:c>
      <x:c r="C32" s="2" t="str">
        <x:v>kit</x:v>
      </x:c>
      <x:c r="D32" s="19" t="n">
        <x:v>1</x:v>
      </x:c>
      <x:c r="E32" s="19" t="n">
        <x:v>1</x:v>
      </x:c>
      <x:c r="F32" s="19" t="n">
        <x:v>1</x:v>
      </x:c>
      <x:c r="G32" s="19" t="n">
        <x:v>1</x:v>
      </x:c>
      <x:c r="H32" s="19" t="n">
        <x:v>1</x:v>
      </x:c>
      <x:c r="I32" s="19" t="n">
        <x:v>2</x:v>
      </x:c>
      <x:c r="J32" s="19" t="n">
        <x:v>2</x:v>
      </x:c>
      <x:c r="K32" s="19" t="n">
        <x:v>2</x:v>
      </x:c>
      <x:c r="L32" s="19" t="n">
        <x:v>2</x:v>
      </x:c>
      <x:c r="M32" s="19" t="n">
        <x:v>2</x:v>
      </x:c>
      <x:c r="N32" s="19" t="n">
        <x:v>2</x:v>
      </x:c>
      <x:c r="O32" s="19" t="n">
        <x:v>3</x:v>
      </x:c>
      <x:c r="P32" s="19" t="n">
        <x:v>3</x:v>
      </x:c>
      <x:c r="Q32" s="19" t="n">
        <x:v>3</x:v>
      </x:c>
      <x:c r="R32" s="19" t="n">
        <x:v>2</x:v>
      </x:c>
      <x:c r="S32" s="19" t="n">
        <x:v>2</x:v>
      </x:c>
      <x:c r="T32" s="19" t="n">
        <x:v>3</x:v>
      </x:c>
      <x:c r="U32" s="19" t="n">
        <x:v>3</x:v>
      </x:c>
      <x:c r="V32" s="19" t="n">
        <x:v>2</x:v>
      </x:c>
      <x:c r="W32" s="19" t="n">
        <x:v>3</x:v>
      </x:c>
      <x:c r="X32" s="19" t="n">
        <x:v>3</x:v>
      </x:c>
      <x:c r="Y32" s="20" t="n">
        <x:v>15</x:v>
      </x:c>
      <x:c r="Z32" s="20" t="n">
        <x:v>2</x:v>
      </x:c>
      <x:c r="AA32" s="21" t="n">
        <x:v>0.06</x:v>
      </x:c>
      <x:c r="AB32" s="21" t="n">
        <x:v>0.04</x:v>
      </x:c>
      <x:c r="AC32" s="20" t="n">
        <x:v>3</x:v>
      </x:c>
      <x:c r="AD32" s="20" t="n">
        <x:v>16</x:v>
      </x:c>
      <x:c r="AE32" s="20" t="n">
        <x:v>0.25</x:v>
      </x:c>
      <x:c r="AF32" s="20" t="n">
        <x:v>0.1</x:v>
      </x:c>
      <x:c r="AG32" s="20" t="n">
        <x:v>0.1</x:v>
      </x:c>
      <x:c r="AH32" s="20" t="n">
        <x:v>1</x:v>
      </x:c>
      <x:c r="AI32" s="20" t="n">
        <x:v>75</x:v>
      </x:c>
      <x:c r="AJ32" s="20" t="n">
        <x:v>8</x:v>
      </x:c>
      <x:c r="AK32" s="20" t="n">
        <x:v>1</x:v>
      </x:c>
      <x:c r="AL32" s="20" t="n">
        <x:v>15</x:v>
      </x:c>
      <x:c r="AM32" s="10" t="str">
        <x:v>Özgün karar worksheet kullanıcısı</x:v>
      </x:c>
      <x:c r="AN32" s="10" t="str">
        <x:v>Karar review tarihinin gelmesi</x:v>
      </x:c>
      <x:c r="AO32" s="10" t="str">
        <x:v>Özgün karar worksheet içindeki opt-in recipe</x:v>
      </x:c>
      <x:c r="AP32" s="22" t="str">
        <x:v>Idle/restart doğru kayıt</x:v>
      </x:c>
      <x:c r="AQ32" s="22" t="str">
        <x:v>Kaynak-belge gözlemi; müşteri/tahsilat ve dış pilot doğrulanmadı</x:v>
      </x:c>
      <x:c r="AR32" s="22" t="str">
        <x:v>Timesheet ancak ayrıca izinli iş ölçümü sonrası</x:v>
      </x:c>
      <x:c r="AS32" s="22" t="str">
        <x:v>Idle/restart doğru kayıt için tek sentetik/izinli örnekte kabul kaydı.</x:v>
      </x:c>
      <x:c r="AT32" s="17" t="n">
        <x:v>0</x:v>
      </x:c>
    </x:row>
    <x:row r="33" ht="58" customHeight="1">
      <x:c r="A33" s="2" t="str">
        <x:v>Aile-29</x:v>
      </x:c>
      <x:c r="B33" s="2" t="str">
        <x:v>Luquit entegrasyon</x:v>
      </x:c>
      <x:c r="C33" s="2" t="str">
        <x:v>kit</x:v>
      </x:c>
      <x:c r="D33" s="19" t="n">
        <x:v>1</x:v>
      </x:c>
      <x:c r="E33" s="19" t="n">
        <x:v>1</x:v>
      </x:c>
      <x:c r="F33" s="19" t="n">
        <x:v>1</x:v>
      </x:c>
      <x:c r="G33" s="19" t="n">
        <x:v>1</x:v>
      </x:c>
      <x:c r="H33" s="19" t="n">
        <x:v>1</x:v>
      </x:c>
      <x:c r="I33" s="19" t="n">
        <x:v>3</x:v>
      </x:c>
      <x:c r="J33" s="19" t="n">
        <x:v>2</x:v>
      </x:c>
      <x:c r="K33" s="19" t="n">
        <x:v>3</x:v>
      </x:c>
      <x:c r="L33" s="19" t="n">
        <x:v>3</x:v>
      </x:c>
      <x:c r="M33" s="19" t="n">
        <x:v>3</x:v>
      </x:c>
      <x:c r="N33" s="19" t="n">
        <x:v>2</x:v>
      </x:c>
      <x:c r="O33" s="19" t="n">
        <x:v>3</x:v>
      </x:c>
      <x:c r="P33" s="19" t="n">
        <x:v>3</x:v>
      </x:c>
      <x:c r="Q33" s="19" t="n">
        <x:v>2</x:v>
      </x:c>
      <x:c r="R33" s="19" t="n">
        <x:v>3</x:v>
      </x:c>
      <x:c r="S33" s="19" t="n">
        <x:v>3</x:v>
      </x:c>
      <x:c r="T33" s="19" t="n">
        <x:v>3</x:v>
      </x:c>
      <x:c r="U33" s="19" t="n">
        <x:v>2</x:v>
      </x:c>
      <x:c r="V33" s="19" t="n">
        <x:v>2</x:v>
      </x:c>
      <x:c r="W33" s="19" t="n">
        <x:v>2</x:v>
      </x:c>
      <x:c r="X33" s="19" t="n">
        <x:v>3</x:v>
      </x:c>
      <x:c r="Y33" s="20" t="n">
        <x:v>79</x:v>
      </x:c>
      <x:c r="Z33" s="20" t="n">
        <x:v>2</x:v>
      </x:c>
      <x:c r="AA33" s="21" t="n">
        <x:v>0.06</x:v>
      </x:c>
      <x:c r="AB33" s="21" t="n">
        <x:v>0.04</x:v>
      </x:c>
      <x:c r="AC33" s="20" t="n">
        <x:v>3</x:v>
      </x:c>
      <x:c r="AD33" s="20" t="n">
        <x:v>25</x:v>
      </x:c>
      <x:c r="AE33" s="20" t="n">
        <x:v>0.25</x:v>
      </x:c>
      <x:c r="AF33" s="20" t="n">
        <x:v>0.5</x:v>
      </x:c>
      <x:c r="AG33" s="20" t="n">
        <x:v>0.1</x:v>
      </x:c>
      <x:c r="AH33" s="20" t="n">
        <x:v>1</x:v>
      </x:c>
      <x:c r="AI33" s="20" t="n">
        <x:v>75</x:v>
      </x:c>
      <x:c r="AJ33" s="20" t="n">
        <x:v>8</x:v>
      </x:c>
      <x:c r="AK33" s="20" t="n">
        <x:v>1</x:v>
      </x:c>
      <x:c r="AL33" s="20" t="n">
        <x:v>15</x:v>
      </x:c>
      <x:c r="AM33" s="10" t="str">
        <x:v>React ajansı teknik lead</x:v>
      </x:c>
      <x:c r="AN33" s="10" t="str">
        <x:v>Yeni müşteri ekran entegrasyonu</x:v>
      </x:c>
      <x:c r="AO33" s="10" t="str">
        <x:v>Public token/keyboard recipe</x:v>
      </x:c>
      <x:c r="AP33" s="22" t="str">
        <x:v>Lisans ve dış integration</x:v>
      </x:c>
      <x:c r="AQ33" s="22" t="str">
        <x:v>Kaynak-belge gözlemi; müşteri/tahsilat ve dış pilot doğrulanmadı</x:v>
      </x:c>
      <x:c r="AR33" s="22" t="str">
        <x:v>CRM ayrı yeni ürün/talep deneyi</x:v>
      </x:c>
      <x:c r="AS33" s="22" t="str">
        <x:v>Lisans ve dış integration için tek sentetik/izinli örnekte kabul kaydı.</x:v>
      </x:c>
      <x:c r="AT33" s="17" t="n">
        <x:v>0</x:v>
      </x:c>
    </x:row>
    <x:row r="34" ht="58" customHeight="1">
      <x:c r="A34" s="2" t="str">
        <x:v>Aile-30</x:v>
      </x:c>
      <x:c r="B34" s="2" t="str">
        <x:v>Kernel adapter</x:v>
      </x:c>
      <x:c r="C34" s="2" t="str">
        <x:v>internal</x:v>
      </x:c>
      <x:c r="D34" s="19" t="n">
        <x:v>0</x:v>
      </x:c>
      <x:c r="E34" s="19" t="n">
        <x:v>0</x:v>
      </x:c>
      <x:c r="F34" s="19" t="n">
        <x:v>0</x:v>
      </x:c>
      <x:c r="G34" s="19" t="n">
        <x:v>0</x:v>
      </x:c>
      <x:c r="H34" s="19" t="n">
        <x:v>0</x:v>
      </x:c>
      <x:c r="I34" s="19" t="n">
        <x:v>1</x:v>
      </x:c>
      <x:c r="J34" s="19" t="n">
        <x:v>1</x:v>
      </x:c>
      <x:c r="K34" s="19" t="n">
        <x:v>2</x:v>
      </x:c>
      <x:c r="L34" s="19" t="n">
        <x:v>1</x:v>
      </x:c>
      <x:c r="M34" s="19" t="n">
        <x:v>1</x:v>
      </x:c>
      <x:c r="N34" s="19" t="n">
        <x:v>0</x:v>
      </x:c>
      <x:c r="O34" s="19" t="n">
        <x:v>1</x:v>
      </x:c>
      <x:c r="P34" s="19" t="n">
        <x:v>0</x:v>
      </x:c>
      <x:c r="Q34" s="19" t="n">
        <x:v>1</x:v>
      </x:c>
      <x:c r="R34" s="19" t="n">
        <x:v>3</x:v>
      </x:c>
      <x:c r="S34" s="19" t="n">
        <x:v>2</x:v>
      </x:c>
      <x:c r="T34" s="19" t="n">
        <x:v>1</x:v>
      </x:c>
      <x:c r="U34" s="19" t="n">
        <x:v>2</x:v>
      </x:c>
      <x:c r="V34" s="19" t="n">
        <x:v>2</x:v>
      </x:c>
      <x:c r="W34" s="19" t="n">
        <x:v>1</x:v>
      </x:c>
      <x:c r="X34" s="19" t="n">
        <x:v>1</x:v>
      </x:c>
      <x:c r="Y34" s="20" t="n">
        <x:v>0</x:v>
      </x:c>
      <x:c r="Z34" s="20" t="n">
        <x:v>0</x:v>
      </x:c>
      <x:c r="AA34" s="21" t="n">
        <x:v>0</x:v>
      </x:c>
      <x:c r="AB34" s="21" t="n">
        <x:v>0</x:v>
      </x:c>
      <x:c r="AC34" s="20" t="n">
        <x:v>0</x:v>
      </x:c>
      <x:c r="AD34" s="20" t="n">
        <x:v>0</x:v>
      </x:c>
      <x:c r="AE34" s="20" t="n">
        <x:v>0</x:v>
      </x:c>
      <x:c r="AF34" s="20" t="n">
        <x:v>0</x:v>
      </x:c>
      <x:c r="AG34" s="20" t="n">
        <x:v>0</x:v>
      </x:c>
      <x:c r="AH34" s="20" t="n">
        <x:v>1</x:v>
      </x:c>
      <x:c r="AI34" s="20" t="n">
        <x:v>0</x:v>
      </x:c>
      <x:c r="AJ34" s="20" t="n">
        <x:v>0</x:v>
      </x:c>
      <x:c r="AK34" s="20" t="n">
        <x:v>0</x:v>
      </x:c>
      <x:c r="AL34" s="20" t="n">
        <x:v>0</x:v>
      </x:c>
      <x:c r="AM34" s="10" t="str">
        <x:v>Backend geliştirici</x:v>
      </x:c>
      <x:c r="AN34" s="10" t="str">
        <x:v>Tenant sözleşmesi uygulama</x:v>
      </x:c>
      <x:c r="AO34" s="10" t="str">
        <x:v>İç contract fixture</x:v>
      </x:c>
      <x:c r="AP34" s="22" t="str">
        <x:v>NO_GO çözülmeden satış yok</x:v>
      </x:c>
      <x:c r="AQ34" s="22" t="str">
        <x:v>Kaynak-belge gözlemi; müşteri/tahsilat ve dış pilot doğrulanmadı</x:v>
      </x:c>
      <x:c r="AR34" s="22" t="str">
        <x:v>Dar support kiti yalnız dış kabulden sonra</x:v>
      </x:c>
      <x:c r="AS34" s="22" t="str">
        <x:v>NO_GO çözülmeden satış yok için tek sentetik/izinli örnekte kabul kaydı.</x:v>
      </x:c>
      <x:c r="AT34" s="17" t="n">
        <x:v>0</x:v>
      </x:c>
    </x:row>
    <x:row r="35" ht="58" customHeight="1">
      <x:c r="A35" s="2" t="str">
        <x:v>Aile-31</x:v>
      </x:c>
      <x:c r="B35" s="2" t="str">
        <x:v>Marka kısa liste</x:v>
      </x:c>
      <x:c r="C35" s="2" t="str">
        <x:v>kit</x:v>
      </x:c>
      <x:c r="D35" s="19" t="n">
        <x:v>1</x:v>
      </x:c>
      <x:c r="E35" s="19" t="n">
        <x:v>1</x:v>
      </x:c>
      <x:c r="F35" s="19" t="n">
        <x:v>1</x:v>
      </x:c>
      <x:c r="G35" s="19" t="n">
        <x:v>1</x:v>
      </x:c>
      <x:c r="H35" s="19" t="n">
        <x:v>1</x:v>
      </x:c>
      <x:c r="I35" s="19" t="n">
        <x:v>3</x:v>
      </x:c>
      <x:c r="J35" s="19" t="n">
        <x:v>2</x:v>
      </x:c>
      <x:c r="K35" s="19" t="n">
        <x:v>2</x:v>
      </x:c>
      <x:c r="L35" s="19" t="n">
        <x:v>2</x:v>
      </x:c>
      <x:c r="M35" s="19" t="n">
        <x:v>3</x:v>
      </x:c>
      <x:c r="N35" s="19" t="n">
        <x:v>1</x:v>
      </x:c>
      <x:c r="O35" s="19" t="n">
        <x:v>3</x:v>
      </x:c>
      <x:c r="P35" s="19" t="n">
        <x:v>3</x:v>
      </x:c>
      <x:c r="Q35" s="19" t="n">
        <x:v>3</x:v>
      </x:c>
      <x:c r="R35" s="19" t="n">
        <x:v>2</x:v>
      </x:c>
      <x:c r="S35" s="19" t="n">
        <x:v>2</x:v>
      </x:c>
      <x:c r="T35" s="19" t="n">
        <x:v>3</x:v>
      </x:c>
      <x:c r="U35" s="19" t="n">
        <x:v>1</x:v>
      </x:c>
      <x:c r="V35" s="19" t="n">
        <x:v>1</x:v>
      </x:c>
      <x:c r="W35" s="19" t="n">
        <x:v>2</x:v>
      </x:c>
      <x:c r="X35" s="19" t="n">
        <x:v>1</x:v>
      </x:c>
      <x:c r="Y35" s="20" t="n">
        <x:v>39</x:v>
      </x:c>
      <x:c r="Z35" s="20" t="n">
        <x:v>2</x:v>
      </x:c>
      <x:c r="AA35" s="21" t="n">
        <x:v>0.06</x:v>
      </x:c>
      <x:c r="AB35" s="21" t="n">
        <x:v>0.04</x:v>
      </x:c>
      <x:c r="AC35" s="20" t="n">
        <x:v>3</x:v>
      </x:c>
      <x:c r="AD35" s="20" t="n">
        <x:v>30</x:v>
      </x:c>
      <x:c r="AE35" s="20" t="n">
        <x:v>0.25</x:v>
      </x:c>
      <x:c r="AF35" s="20" t="n">
        <x:v>0.1</x:v>
      </x:c>
      <x:c r="AG35" s="20" t="n">
        <x:v>0.1</x:v>
      </x:c>
      <x:c r="AH35" s="20" t="n">
        <x:v>1</x:v>
      </x:c>
      <x:c r="AI35" s="20" t="n">
        <x:v>75</x:v>
      </x:c>
      <x:c r="AJ35" s="20" t="n">
        <x:v>8</x:v>
      </x:c>
      <x:c r="AK35" s="20" t="n">
        <x:v>1</x:v>
      </x:c>
      <x:c r="AL35" s="20" t="n">
        <x:v>15</x:v>
      </x:c>
      <x:c r="AM35" s="10" t="str">
        <x:v>Yeni ürün kurucusu</x:v>
      </x:c>
      <x:c r="AN35" s="10" t="str">
        <x:v>Marka seçimi</x:v>
      </x:c>
      <x:c r="AO35" s="10" t="str">
        <x:v>Public Türkçe aday örneği</x:v>
      </x:c>
      <x:c r="AP35" s="22" t="str">
        <x:v>RDAP erişim/marka hakları</x:v>
      </x:c>
      <x:c r="AQ35" s="22" t="str">
        <x:v>Kaynak-belge gözlemi; müşteri/tahsilat ve dış pilot doğrulanmadı</x:v>
      </x:c>
      <x:c r="AR35" s="22" t="str">
        <x:v>Marka uygunluğu garantisi yok</x:v>
      </x:c>
      <x:c r="AS35" s="22" t="str">
        <x:v>RDAP erişim/marka hakları için tek sentetik/izinli örnekte kabul kaydı.</x:v>
      </x:c>
      <x:c r="AT35" s="17" t="n">
        <x:v>0</x:v>
      </x:c>
    </x:row>
    <x:row r="36" ht="58" customHeight="1">
      <x:c r="A36" s="2" t="str">
        <x:v>Aile-32</x:v>
      </x:c>
      <x:c r="B36" s="2" t="str">
        <x:v>Projector içerik</x:v>
      </x:c>
      <x:c r="C36" s="2" t="str">
        <x:v>kit</x:v>
      </x:c>
      <x:c r="D36" s="19" t="n">
        <x:v>1</x:v>
      </x:c>
      <x:c r="E36" s="19" t="n">
        <x:v>1</x:v>
      </x:c>
      <x:c r="F36" s="19" t="n">
        <x:v>1</x:v>
      </x:c>
      <x:c r="G36" s="19" t="n">
        <x:v>1</x:v>
      </x:c>
      <x:c r="H36" s="19" t="n">
        <x:v>1</x:v>
      </x:c>
      <x:c r="I36" s="19" t="n">
        <x:v>3</x:v>
      </x:c>
      <x:c r="J36" s="19" t="n">
        <x:v>3</x:v>
      </x:c>
      <x:c r="K36" s="19" t="n">
        <x:v>3</x:v>
      </x:c>
      <x:c r="L36" s="19" t="n">
        <x:v>2</x:v>
      </x:c>
      <x:c r="M36" s="19" t="n">
        <x:v>3</x:v>
      </x:c>
      <x:c r="N36" s="19" t="n">
        <x:v>2</x:v>
      </x:c>
      <x:c r="O36" s="19" t="n">
        <x:v>3</x:v>
      </x:c>
      <x:c r="P36" s="19" t="n">
        <x:v>2</x:v>
      </x:c>
      <x:c r="Q36" s="19" t="n">
        <x:v>1</x:v>
      </x:c>
      <x:c r="R36" s="19" t="n">
        <x:v>3</x:v>
      </x:c>
      <x:c r="S36" s="19" t="n">
        <x:v>3</x:v>
      </x:c>
      <x:c r="T36" s="19" t="n">
        <x:v>3</x:v>
      </x:c>
      <x:c r="U36" s="19" t="n">
        <x:v>2</x:v>
      </x:c>
      <x:c r="V36" s="19" t="n">
        <x:v>3</x:v>
      </x:c>
      <x:c r="W36" s="19" t="n">
        <x:v>2</x:v>
      </x:c>
      <x:c r="X36" s="19" t="n">
        <x:v>3</x:v>
      </x:c>
      <x:c r="Y36" s="20" t="n">
        <x:v>180</x:v>
      </x:c>
      <x:c r="Z36" s="20" t="n">
        <x:v>2</x:v>
      </x:c>
      <x:c r="AA36" s="21" t="n">
        <x:v>0.06</x:v>
      </x:c>
      <x:c r="AB36" s="21" t="n">
        <x:v>0.04</x:v>
      </x:c>
      <x:c r="AC36" s="20" t="n">
        <x:v>3</x:v>
      </x:c>
      <x:c r="AD36" s="20" t="n">
        <x:v>30</x:v>
      </x:c>
      <x:c r="AE36" s="20" t="n">
        <x:v>1</x:v>
      </x:c>
      <x:c r="AF36" s="20" t="n">
        <x:v>3</x:v>
      </x:c>
      <x:c r="AG36" s="20" t="n">
        <x:v>0.1</x:v>
      </x:c>
      <x:c r="AH36" s="20" t="n">
        <x:v>1</x:v>
      </x:c>
      <x:c r="AI36" s="20" t="n">
        <x:v>75</x:v>
      </x:c>
      <x:c r="AJ36" s="20" t="n">
        <x:v>8</x:v>
      </x:c>
      <x:c r="AK36" s="20" t="n">
        <x:v>1</x:v>
      </x:c>
      <x:c r="AL36" s="20" t="n">
        <x:v>15</x:v>
      </x:c>
      <x:c r="AM36" s="10" t="str">
        <x:v>Doküman teslim eden danışman/ajans</x:v>
      </x:c>
      <x:c r="AN36" s="10" t="str">
        <x:v>Yeni müşteri doküman paketi teslimi</x:v>
      </x:c>
      <x:c r="AO36" s="10" t="str">
        <x:v>Özgün kaynaklı demo portalı</x:v>
      </x:c>
      <x:c r="AP36" s="22" t="str">
        <x:v>Haklar ve özgün doğrulanmış içerik</x:v>
      </x:c>
      <x:c r="AQ36" s="22" t="str">
        <x:v>Kaynak-belge gözlemi; müşteri/tahsilat ve dış pilot doğrulanmadı</x:v>
      </x:c>
      <x:c r="AR36" s="22" t="str">
        <x:v>Reader ücretsiz; içerik ücretli</x:v>
      </x:c>
      <x:c r="AS36" s="22" t="str">
        <x:v>Haklar ve özgün doğrulanmış içerik için tek sentetik/izinli örnekte kabul kaydı.</x:v>
      </x:c>
      <x:c r="AT36" s="17" t="n">
        <x:v>0</x:v>
      </x:c>
    </x:row>
    <x:row r="37" ht="58" customHeight="1">
      <x:c r="A37" s="2" t="str">
        <x:v>Aile-33</x:v>
      </x:c>
      <x:c r="B37" s="2" t="str">
        <x:v>Anonim kurucu şablonu</x:v>
      </x:c>
      <x:c r="C37" s="2" t="str">
        <x:v>kit</x:v>
      </x:c>
      <x:c r="D37" s="19" t="n">
        <x:v>1</x:v>
      </x:c>
      <x:c r="E37" s="19" t="n">
        <x:v>1</x:v>
      </x:c>
      <x:c r="F37" s="19" t="n">
        <x:v>1</x:v>
      </x:c>
      <x:c r="G37" s="19" t="n">
        <x:v>1</x:v>
      </x:c>
      <x:c r="H37" s="19" t="n">
        <x:v>1</x:v>
      </x:c>
      <x:c r="I37" s="19" t="n">
        <x:v>2</x:v>
      </x:c>
      <x:c r="J37" s="19" t="n">
        <x:v>2</x:v>
      </x:c>
      <x:c r="K37" s="19" t="n">
        <x:v>2</x:v>
      </x:c>
      <x:c r="L37" s="19" t="n">
        <x:v>2</x:v>
      </x:c>
      <x:c r="M37" s="19" t="n">
        <x:v>2</x:v>
      </x:c>
      <x:c r="N37" s="19" t="n">
        <x:v>1</x:v>
      </x:c>
      <x:c r="O37" s="19" t="n">
        <x:v>3</x:v>
      </x:c>
      <x:c r="P37" s="19" t="n">
        <x:v>3</x:v>
      </x:c>
      <x:c r="Q37" s="19" t="n">
        <x:v>3</x:v>
      </x:c>
      <x:c r="R37" s="19" t="n">
        <x:v>2</x:v>
      </x:c>
      <x:c r="S37" s="19" t="n">
        <x:v>2</x:v>
      </x:c>
      <x:c r="T37" s="19" t="n">
        <x:v>3</x:v>
      </x:c>
      <x:c r="U37" s="19" t="n">
        <x:v>3</x:v>
      </x:c>
      <x:c r="V37" s="19" t="n">
        <x:v>2</x:v>
      </x:c>
      <x:c r="W37" s="19" t="n">
        <x:v>3</x:v>
      </x:c>
      <x:c r="X37" s="19" t="n">
        <x:v>3</x:v>
      </x:c>
      <x:c r="Y37" s="20" t="n">
        <x:v>39</x:v>
      </x:c>
      <x:c r="Z37" s="20" t="n">
        <x:v>2</x:v>
      </x:c>
      <x:c r="AA37" s="21" t="n">
        <x:v>0.06</x:v>
      </x:c>
      <x:c r="AB37" s="21" t="n">
        <x:v>0.04</x:v>
      </x:c>
      <x:c r="AC37" s="20" t="n">
        <x:v>3</x:v>
      </x:c>
      <x:c r="AD37" s="20" t="n">
        <x:v>30</x:v>
      </x:c>
      <x:c r="AE37" s="20" t="n">
        <x:v>0.25</x:v>
      </x:c>
      <x:c r="AF37" s="20" t="n">
        <x:v>0.1</x:v>
      </x:c>
      <x:c r="AG37" s="20" t="n">
        <x:v>0.1</x:v>
      </x:c>
      <x:c r="AH37" s="20" t="n">
        <x:v>1</x:v>
      </x:c>
      <x:c r="AI37" s="20" t="n">
        <x:v>75</x:v>
      </x:c>
      <x:c r="AJ37" s="20" t="n">
        <x:v>8</x:v>
      </x:c>
      <x:c r="AK37" s="20" t="n">
        <x:v>1</x:v>
      </x:c>
      <x:c r="AL37" s="20" t="n">
        <x:v>15</x:v>
      </x:c>
      <x:c r="AM37" s="10" t="str">
        <x:v>Solo kurucu</x:v>
      </x:c>
      <x:c r="AN37" s="10" t="str">
        <x:v>Haftalık portföy kararı</x:v>
      </x:c>
      <x:c r="AO37" s="10" t="str">
        <x:v>Sentetik karar defteri</x:v>
      </x:c>
      <x:c r="AP37" s="22" t="str">
        <x:v>Kişisel veri tamamen ayrı</x:v>
      </x:c>
      <x:c r="AQ37" s="22" t="str">
        <x:v>Kaynak-belge gözlemi; müşteri/tahsilat ve dış pilot doğrulanmadı</x:v>
      </x:c>
      <x:c r="AR37" s="22" t="str">
        <x:v>Gerçek kişisel dosya kamu çıktısı değil</x:v>
      </x:c>
      <x:c r="AS37" s="22" t="str">
        <x:v>Kişisel veri tamamen ayrı için tek sentetik/izinli örnekte kabul kaydı.</x:v>
      </x:c>
      <x:c r="AT37" s="17" t="n">
        <x:v>0</x:v>
      </x:c>
    </x:row>
    <x:row r="38" ht="58" customHeight="1">
      <x:c r="A38" s="2" t="str">
        <x:v>Aile-34</x:v>
      </x:c>
      <x:c r="B38" s="2" t="str">
        <x:v>QRAL kaynak export</x:v>
      </x:c>
      <x:c r="C38" s="2" t="str">
        <x:v>kit</x:v>
      </x:c>
      <x:c r="D38" s="19" t="n">
        <x:v>1</x:v>
      </x:c>
      <x:c r="E38" s="19" t="n">
        <x:v>1</x:v>
      </x:c>
      <x:c r="F38" s="19" t="n">
        <x:v>1</x:v>
      </x:c>
      <x:c r="G38" s="19" t="n">
        <x:v>1</x:v>
      </x:c>
      <x:c r="H38" s="19" t="n">
        <x:v>1</x:v>
      </x:c>
      <x:c r="I38" s="19" t="n">
        <x:v>3</x:v>
      </x:c>
      <x:c r="J38" s="19" t="n">
        <x:v>2</x:v>
      </x:c>
      <x:c r="K38" s="19" t="n">
        <x:v>3</x:v>
      </x:c>
      <x:c r="L38" s="19" t="n">
        <x:v>3</x:v>
      </x:c>
      <x:c r="M38" s="19" t="n">
        <x:v>3</x:v>
      </x:c>
      <x:c r="N38" s="19" t="n">
        <x:v>2</x:v>
      </x:c>
      <x:c r="O38" s="19" t="n">
        <x:v>3</x:v>
      </x:c>
      <x:c r="P38" s="19" t="n">
        <x:v>3</x:v>
      </x:c>
      <x:c r="Q38" s="19" t="n">
        <x:v>3</x:v>
      </x:c>
      <x:c r="R38" s="19" t="n">
        <x:v>3</x:v>
      </x:c>
      <x:c r="S38" s="19" t="n">
        <x:v>3</x:v>
      </x:c>
      <x:c r="T38" s="19" t="n">
        <x:v>3</x:v>
      </x:c>
      <x:c r="U38" s="19" t="n">
        <x:v>3</x:v>
      </x:c>
      <x:c r="V38" s="19" t="n">
        <x:v>3</x:v>
      </x:c>
      <x:c r="W38" s="19" t="n">
        <x:v>3</x:v>
      </x:c>
      <x:c r="X38" s="19" t="n">
        <x:v>2</x:v>
      </x:c>
      <x:c r="Y38" s="20" t="n">
        <x:v>29</x:v>
      </x:c>
      <x:c r="Z38" s="20" t="n">
        <x:v>2</x:v>
      </x:c>
      <x:c r="AA38" s="21" t="n">
        <x:v>0.06</x:v>
      </x:c>
      <x:c r="AB38" s="21" t="n">
        <x:v>0.04</x:v>
      </x:c>
      <x:c r="AC38" s="20" t="n">
        <x:v>3</x:v>
      </x:c>
      <x:c r="AD38" s="20" t="n">
        <x:v>25</x:v>
      </x:c>
      <x:c r="AE38" s="20" t="n">
        <x:v>0.25</x:v>
      </x:c>
      <x:c r="AF38" s="20" t="n">
        <x:v>0.1</x:v>
      </x:c>
      <x:c r="AG38" s="20" t="n">
        <x:v>0.1</x:v>
      </x:c>
      <x:c r="AH38" s="20" t="n">
        <x:v>1</x:v>
      </x:c>
      <x:c r="AI38" s="20" t="n">
        <x:v>75</x:v>
      </x:c>
      <x:c r="AJ38" s="20" t="n">
        <x:v>8</x:v>
      </x:c>
      <x:c r="AK38" s="20" t="n">
        <x:v>1</x:v>
      </x:c>
      <x:c r="AL38" s="20" t="n">
        <x:v>15</x:v>
      </x:c>
      <x:c r="AM38" s="10" t="str">
        <x:v>Araştırma ekip lead</x:v>
      </x:c>
      <x:c r="AN38" s="10" t="str">
        <x:v>Rapor kaynağı toplama</x:v>
      </x:c>
      <x:c r="AO38" s="10" t="str">
        <x:v>Store izinli örnek ve public recipe</x:v>
      </x:c>
      <x:c r="AP38" s="22" t="str">
        <x:v>Minimum izin ve doğrulanmış export</x:v>
      </x:c>
      <x:c r="AQ38" s="22" t="str">
        <x:v>Kaynak-belge gözlemi; müşteri/tahsilat ve dış pilot doğrulanmadı</x:v>
      </x:c>
      <x:c r="AR38" s="22" t="str">
        <x:v>Ücretsiz bookmark/AI aynıysa paid tez bırakılır</x:v>
      </x:c>
      <x:c r="AS38" s="22" t="str">
        <x:v>Minimum izin ve doğrulanmış export için tek sentetik/izinli örnekte kabul kaydı.</x:v>
      </x:c>
      <x:c r="AT38" s="17" t="n">
        <x:v>0</x:v>
      </x:c>
    </x:row>
    <x:row r="39" ht="58" customHeight="1">
      <x:c r="A39" s="2" t="str">
        <x:v>Aile-35</x:v>
      </x:c>
      <x:c r="B39" s="2" t="str">
        <x:v>Signator takım teslimi</x:v>
      </x:c>
      <x:c r="C39" s="2" t="str">
        <x:v>dossier</x:v>
      </x:c>
      <x:c r="D39" s="19" t="n">
        <x:v>1</x:v>
      </x:c>
      <x:c r="E39" s="19" t="n">
        <x:v>1</x:v>
      </x:c>
      <x:c r="F39" s="19" t="n">
        <x:v>1</x:v>
      </x:c>
      <x:c r="G39" s="19" t="n">
        <x:v>1</x:v>
      </x:c>
      <x:c r="H39" s="19" t="n">
        <x:v>1</x:v>
      </x:c>
      <x:c r="I39" s="19" t="n">
        <x:v>3</x:v>
      </x:c>
      <x:c r="J39" s="19" t="n">
        <x:v>3</x:v>
      </x:c>
      <x:c r="K39" s="19" t="n">
        <x:v>3</x:v>
      </x:c>
      <x:c r="L39" s="19" t="n">
        <x:v>3</x:v>
      </x:c>
      <x:c r="M39" s="19" t="n">
        <x:v>3</x:v>
      </x:c>
      <x:c r="N39" s="19" t="n">
        <x:v>2</x:v>
      </x:c>
      <x:c r="O39" s="19" t="n">
        <x:v>3</x:v>
      </x:c>
      <x:c r="P39" s="19" t="n">
        <x:v>2</x:v>
      </x:c>
      <x:c r="Q39" s="19" t="n">
        <x:v>1</x:v>
      </x:c>
      <x:c r="R39" s="19" t="n">
        <x:v>3</x:v>
      </x:c>
      <x:c r="S39" s="19" t="n">
        <x:v>3</x:v>
      </x:c>
      <x:c r="T39" s="19" t="n">
        <x:v>3</x:v>
      </x:c>
      <x:c r="U39" s="19" t="n">
        <x:v>3</x:v>
      </x:c>
      <x:c r="V39" s="19" t="n">
        <x:v>2</x:v>
      </x:c>
      <x:c r="W39" s="19" t="n">
        <x:v>2</x:v>
      </x:c>
      <x:c r="X39" s="19" t="n">
        <x:v>2</x:v>
      </x:c>
      <x:c r="Y39" s="20" t="n">
        <x:v>35</x:v>
      </x:c>
      <x:c r="Z39" s="20" t="n">
        <x:v>25</x:v>
      </x:c>
      <x:c r="AA39" s="21" t="n">
        <x:v>0.04</x:v>
      </x:c>
      <x:c r="AB39" s="21" t="n">
        <x:v>0.03</x:v>
      </x:c>
      <x:c r="AC39" s="20" t="n">
        <x:v>3</x:v>
      </x:c>
      <x:c r="AD39" s="20" t="n">
        <x:v>8</x:v>
      </x:c>
      <x:c r="AE39" s="20" t="n">
        <x:v>0.5</x:v>
      </x:c>
      <x:c r="AF39" s="20" t="n">
        <x:v>1</x:v>
      </x:c>
      <x:c r="AG39" s="20" t="n">
        <x:v>0.15</x:v>
      </x:c>
      <x:c r="AH39" s="20" t="n">
        <x:v>1</x:v>
      </x:c>
      <x:c r="AI39" s="20" t="n">
        <x:v>100</x:v>
      </x:c>
      <x:c r="AJ39" s="20" t="n">
        <x:v>10</x:v>
      </x:c>
      <x:c r="AK39" s="20" t="n">
        <x:v>0.5</x:v>
      </x:c>
      <x:c r="AL39" s="20" t="n">
        <x:v>8</x:v>
      </x:c>
      <x:c r="AM39" s="10" t="str">
        <x:v>Marka/operasyon buyer</x:v>
      </x:c>
      <x:c r="AN39" s="10" t="str">
        <x:v>Çalışan/logo/ünvan değişimi</x:v>
      </x:c>
      <x:c r="AO39" s="10" t="str">
        <x:v>Free bireysel generator→ajans kit</x:v>
      </x:c>
      <x:c r="AP39" s="22" t="str">
        <x:v>Gerçek istemci test kabulü</x:v>
      </x:c>
      <x:c r="AQ39" s="22" t="str">
        <x:v>Kaynak-belge gözlemi; müşteri/tahsilat ve dış pilot doğrulanmadı</x:v>
      </x:c>
      <x:c r="AR39" s="22" t="str">
        <x:v>Merkezi API sonraki sağlayıcı kapısı</x:v>
      </x:c>
      <x:c r="AS39" s="22" t="str">
        <x:v>Gerçek istemci test kabulü için tek sentetik/izinli örnekte kabul kaydı.</x:v>
      </x:c>
      <x:c r="AT39" s="17" t="n">
        <x:v>0</x:v>
      </x:c>
    </x:row>
    <x:row r="40" ht="58" customHeight="1">
      <x:c r="A40" s="2" t="str">
        <x:v>Aile-36</x:v>
      </x:c>
      <x:c r="B40" s="2" t="str">
        <x:v>Kanıtlı yazılım teslimi</x:v>
      </x:c>
      <x:c r="C40" s="2" t="str">
        <x:v>service</x:v>
      </x:c>
      <x:c r="D40" s="19" t="n">
        <x:v>1</x:v>
      </x:c>
      <x:c r="E40" s="19" t="n">
        <x:v>1</x:v>
      </x:c>
      <x:c r="F40" s="19" t="n">
        <x:v>1</x:v>
      </x:c>
      <x:c r="G40" s="19" t="n">
        <x:v>1</x:v>
      </x:c>
      <x:c r="H40" s="19" t="n">
        <x:v>1</x:v>
      </x:c>
      <x:c r="I40" s="19" t="n">
        <x:v>3</x:v>
      </x:c>
      <x:c r="J40" s="19" t="n">
        <x:v>3</x:v>
      </x:c>
      <x:c r="K40" s="19" t="n">
        <x:v>3</x:v>
      </x:c>
      <x:c r="L40" s="19" t="n">
        <x:v>2</x:v>
      </x:c>
      <x:c r="M40" s="19" t="n">
        <x:v>3</x:v>
      </x:c>
      <x:c r="N40" s="19" t="n">
        <x:v>2</x:v>
      </x:c>
      <x:c r="O40" s="19" t="n">
        <x:v>2</x:v>
      </x:c>
      <x:c r="P40" s="19" t="n">
        <x:v>2</x:v>
      </x:c>
      <x:c r="Q40" s="19" t="n">
        <x:v>0</x:v>
      </x:c>
      <x:c r="R40" s="19" t="n">
        <x:v>3</x:v>
      </x:c>
      <x:c r="S40" s="19" t="n">
        <x:v>3</x:v>
      </x:c>
      <x:c r="T40" s="19" t="n">
        <x:v>2</x:v>
      </x:c>
      <x:c r="U40" s="19" t="n">
        <x:v>2</x:v>
      </x:c>
      <x:c r="V40" s="19" t="n">
        <x:v>3</x:v>
      </x:c>
      <x:c r="W40" s="19" t="n">
        <x:v>1</x:v>
      </x:c>
      <x:c r="X40" s="19" t="n">
        <x:v>1</x:v>
      </x:c>
      <x:c r="Y40" s="20" t="n">
        <x:v>2000</x:v>
      </x:c>
      <x:c r="Z40" s="20" t="n">
        <x:v>100</x:v>
      </x:c>
      <x:c r="AA40" s="21" t="n">
        <x:v>0.04</x:v>
      </x:c>
      <x:c r="AB40" s="21" t="n">
        <x:v>0.02</x:v>
      </x:c>
      <x:c r="AC40" s="20" t="n">
        <x:v>2</x:v>
      </x:c>
      <x:c r="AD40" s="20" t="n">
        <x:v>20</x:v>
      </x:c>
      <x:c r="AE40" s="20" t="n">
        <x:v>5</x:v>
      </x:c>
      <x:c r="AF40" s="20" t="n">
        <x:v>50</x:v>
      </x:c>
      <x:c r="AG40" s="20" t="n">
        <x:v>0.5</x:v>
      </x:c>
      <x:c r="AH40" s="20" t="n">
        <x:v>1</x:v>
      </x:c>
      <x:c r="AI40" s="20" t="n">
        <x:v>150</x:v>
      </x:c>
      <x:c r="AJ40" s="20" t="n">
        <x:v>15</x:v>
      </x:c>
      <x:c r="AK40" s="20" t="n">
        <x:v>0.5</x:v>
      </x:c>
      <x:c r="AL40" s="20" t="n">
        <x:v>2</x:v>
      </x:c>
      <x:c r="AM40" s="10" t="str">
        <x:v>KOBİ ürün owner</x:v>
      </x:c>
      <x:c r="AN40" s="10" t="str">
        <x:v>Küçük uygulama teslimi</x:v>
      </x:c>
      <x:c r="AO40" s="10" t="str">
        <x:v>Sentetik acceptance receipt</x:v>
      </x:c>
      <x:c r="AP40" s="22" t="str">
        <x:v>Gerçek delivery/restore kanıtı</x:v>
      </x:c>
      <x:c r="AQ40" s="22" t="str">
        <x:v>Kaynak-belge gözlemi; müşteri/tahsilat ve dış pilot doğrulanmadı</x:v>
      </x:c>
      <x:c r="AR40" s="22" t="str">
        <x:v>Fabrika iç enabling asset</x:v>
      </x:c>
      <x:c r="AS40" s="22" t="str">
        <x:v>Gerçek delivery/restore kanıtı için tek sentetik/izinli örnekte kabul kaydı.</x:v>
      </x:c>
      <x:c r="AT40" s="17" t="n">
        <x:v>0</x:v>
      </x:c>
    </x:row>
    <x:row r="41" ht="58" customHeight="1">
      <x:c r="A41" s="2" t="str">
        <x:v>Aile-37</x:v>
      </x:c>
      <x:c r="B41" s="2" t="str">
        <x:v>Kurucu model/sunum</x:v>
      </x:c>
      <x:c r="C41" s="2" t="str">
        <x:v>service</x:v>
      </x:c>
      <x:c r="D41" s="19" t="n">
        <x:v>1</x:v>
      </x:c>
      <x:c r="E41" s="19" t="n">
        <x:v>1</x:v>
      </x:c>
      <x:c r="F41" s="19" t="n">
        <x:v>1</x:v>
      </x:c>
      <x:c r="G41" s="19" t="n">
        <x:v>1</x:v>
      </x:c>
      <x:c r="H41" s="19" t="n">
        <x:v>1</x:v>
      </x:c>
      <x:c r="I41" s="19" t="n">
        <x:v>3</x:v>
      </x:c>
      <x:c r="J41" s="19" t="n">
        <x:v>3</x:v>
      </x:c>
      <x:c r="K41" s="19" t="n">
        <x:v>3</x:v>
      </x:c>
      <x:c r="L41" s="19" t="n">
        <x:v>3</x:v>
      </x:c>
      <x:c r="M41" s="19" t="n">
        <x:v>3</x:v>
      </x:c>
      <x:c r="N41" s="19" t="n">
        <x:v>2</x:v>
      </x:c>
      <x:c r="O41" s="19" t="n">
        <x:v>3</x:v>
      </x:c>
      <x:c r="P41" s="19" t="n">
        <x:v>2</x:v>
      </x:c>
      <x:c r="Q41" s="19" t="n">
        <x:v>1</x:v>
      </x:c>
      <x:c r="R41" s="19" t="n">
        <x:v>3</x:v>
      </x:c>
      <x:c r="S41" s="19" t="n">
        <x:v>3</x:v>
      </x:c>
      <x:c r="T41" s="19" t="n">
        <x:v>3</x:v>
      </x:c>
      <x:c r="U41" s="19" t="n">
        <x:v>2</x:v>
      </x:c>
      <x:c r="V41" s="19" t="n">
        <x:v>3</x:v>
      </x:c>
      <x:c r="W41" s="19" t="n">
        <x:v>2</x:v>
      </x:c>
      <x:c r="X41" s="19" t="n">
        <x:v>3</x:v>
      </x:c>
      <x:c r="Y41" s="20" t="n">
        <x:v>900</x:v>
      </x:c>
      <x:c r="Z41" s="20" t="n">
        <x:v>100</x:v>
      </x:c>
      <x:c r="AA41" s="21" t="n">
        <x:v>0.04</x:v>
      </x:c>
      <x:c r="AB41" s="21" t="n">
        <x:v>0.02</x:v>
      </x:c>
      <x:c r="AC41" s="20" t="n">
        <x:v>2</x:v>
      </x:c>
      <x:c r="AD41" s="20" t="n">
        <x:v>20</x:v>
      </x:c>
      <x:c r="AE41" s="20" t="n">
        <x:v>3</x:v>
      </x:c>
      <x:c r="AF41" s="20" t="n">
        <x:v>14</x:v>
      </x:c>
      <x:c r="AG41" s="20" t="n">
        <x:v>0.5</x:v>
      </x:c>
      <x:c r="AH41" s="20" t="n">
        <x:v>1</x:v>
      </x:c>
      <x:c r="AI41" s="20" t="n">
        <x:v>150</x:v>
      </x:c>
      <x:c r="AJ41" s="20" t="n">
        <x:v>15</x:v>
      </x:c>
      <x:c r="AK41" s="20" t="n">
        <x:v>0.5</x:v>
      </x:c>
      <x:c r="AL41" s="20" t="n">
        <x:v>3</x:v>
      </x:c>
      <x:c r="AM41" s="10" t="str">
        <x:v>Erken aşama kurucu</x:v>
      </x:c>
      <x:c r="AN41" s="10" t="str">
        <x:v>Yatırım/hibe görüşme hazırlığı</x:v>
      </x:c>
      <x:c r="AO41" s="10" t="str">
        <x:v>Özgün anonim model ve sentetik sunum</x:v>
      </x:c>
      <x:c r="AP41" s="22" t="str">
        <x:v>Model varsayım/çıktı acceptance</x:v>
      </x:c>
      <x:c r="AQ41" s="22" t="str">
        <x:v>Kaynak-belge gözlemi; müşteri/tahsilat ve dış pilot doğrulanmadı</x:v>
      </x:c>
      <x:c r="AR41" s="22" t="str">
        <x:v>Live Sheets sync doğrulanmadan SaaS değil</x:v>
      </x:c>
      <x:c r="AS41" s="22" t="str">
        <x:v>Model varsayım/çıktı acceptance için tek sentetik/izinli örnekte kabul kaydı.</x:v>
      </x:c>
      <x:c r="AT41" s="17" t="n">
        <x:v>0</x:v>
      </x:c>
    </x:row>
    <x:row r="42" ht="58" customHeight="1">
      <x:c r="A42" s="2" t="str">
        <x:v>Aile-38</x:v>
      </x:c>
      <x:c r="B42" s="2" t="str">
        <x:v>Strateji seçenek karşılaştırma</x:v>
      </x:c>
      <x:c r="C42" s="2" t="str">
        <x:v>kit</x:v>
      </x:c>
      <x:c r="D42" s="19" t="n">
        <x:v>1</x:v>
      </x:c>
      <x:c r="E42" s="19" t="n">
        <x:v>1</x:v>
      </x:c>
      <x:c r="F42" s="19" t="n">
        <x:v>1</x:v>
      </x:c>
      <x:c r="G42" s="19" t="n">
        <x:v>1</x:v>
      </x:c>
      <x:c r="H42" s="19" t="n">
        <x:v>1</x:v>
      </x:c>
      <x:c r="I42" s="19" t="n">
        <x:v>3</x:v>
      </x:c>
      <x:c r="J42" s="19" t="n">
        <x:v>3</x:v>
      </x:c>
      <x:c r="K42" s="19" t="n">
        <x:v>3</x:v>
      </x:c>
      <x:c r="L42" s="19" t="n">
        <x:v>2</x:v>
      </x:c>
      <x:c r="M42" s="19" t="n">
        <x:v>3</x:v>
      </x:c>
      <x:c r="N42" s="19" t="n">
        <x:v>2</x:v>
      </x:c>
      <x:c r="O42" s="19" t="n">
        <x:v>3</x:v>
      </x:c>
      <x:c r="P42" s="19" t="n">
        <x:v>3</x:v>
      </x:c>
      <x:c r="Q42" s="19" t="n">
        <x:v>2</x:v>
      </x:c>
      <x:c r="R42" s="19" t="n">
        <x:v>3</x:v>
      </x:c>
      <x:c r="S42" s="19" t="n">
        <x:v>3</x:v>
      </x:c>
      <x:c r="T42" s="19" t="n">
        <x:v>3</x:v>
      </x:c>
      <x:c r="U42" s="19" t="n">
        <x:v>2</x:v>
      </x:c>
      <x:c r="V42" s="19" t="n">
        <x:v>3</x:v>
      </x:c>
      <x:c r="W42" s="19" t="n">
        <x:v>2</x:v>
      </x:c>
      <x:c r="X42" s="19" t="n">
        <x:v>3</x:v>
      </x:c>
      <x:c r="Y42" s="20" t="n">
        <x:v>59</x:v>
      </x:c>
      <x:c r="Z42" s="20" t="n">
        <x:v>2</x:v>
      </x:c>
      <x:c r="AA42" s="21" t="n">
        <x:v>0.06</x:v>
      </x:c>
      <x:c r="AB42" s="21" t="n">
        <x:v>0.04</x:v>
      </x:c>
      <x:c r="AC42" s="20" t="n">
        <x:v>3</x:v>
      </x:c>
      <x:c r="AD42" s="20" t="n">
        <x:v>20</x:v>
      </x:c>
      <x:c r="AE42" s="20" t="n">
        <x:v>0.25</x:v>
      </x:c>
      <x:c r="AF42" s="20" t="n">
        <x:v>0.4</x:v>
      </x:c>
      <x:c r="AG42" s="20" t="n">
        <x:v>0.1</x:v>
      </x:c>
      <x:c r="AH42" s="20" t="n">
        <x:v>1</x:v>
      </x:c>
      <x:c r="AI42" s="20" t="n">
        <x:v>75</x:v>
      </x:c>
      <x:c r="AJ42" s="20" t="n">
        <x:v>8</x:v>
      </x:c>
      <x:c r="AK42" s="20" t="n">
        <x:v>1</x:v>
      </x:c>
      <x:c r="AL42" s="20" t="n">
        <x:v>15</x:v>
      </x:c>
      <x:c r="AM42" s="10" t="str">
        <x:v>Facilitator</x:v>
      </x:c>
      <x:c r="AN42" s="10" t="str">
        <x:v>Yeni seçenek karar oturumu</x:v>
      </x:c>
      <x:c r="AO42" s="10" t="str">
        <x:v>Public örnek senaryo</x:v>
      </x:c>
      <x:c r="AP42" s="22" t="str">
        <x:v>Skor/payback semantik kabulü</x:v>
      </x:c>
      <x:c r="AQ42" s="22" t="str">
        <x:v>Kaynak-belge gözlemi; müşteri/tahsilat ve dış pilot doğrulanmadı</x:v>
      </x:c>
      <x:c r="AR42" s="22" t="str">
        <x:v>Skor başarı olasılığı değildir</x:v>
      </x:c>
      <x:c r="AS42" s="22" t="str">
        <x:v>Skor/payback semantik kabulü için tek sentetik/izinli örnekte kabul kaydı.</x:v>
      </x:c>
      <x:c r="AT42" s="17" t="n">
        <x:v>0</x:v>
      </x:c>
    </x:row>
    <x:row r="43" ht="58" customHeight="1">
      <x:c r="A43" s="2" t="str">
        <x:v>Aile-39</x:v>
      </x:c>
      <x:c r="B43" s="2" t="str">
        <x:v>SKU katkı analitiği</x:v>
      </x:c>
      <x:c r="C43" s="2" t="str">
        <x:v>dossier</x:v>
      </x:c>
      <x:c r="D43" s="19" t="n">
        <x:v>1</x:v>
      </x:c>
      <x:c r="E43" s="19" t="n">
        <x:v>1</x:v>
      </x:c>
      <x:c r="F43" s="19" t="n">
        <x:v>1</x:v>
      </x:c>
      <x:c r="G43" s="19" t="n">
        <x:v>1</x:v>
      </x:c>
      <x:c r="H43" s="19" t="n">
        <x:v>1</x:v>
      </x:c>
      <x:c r="I43" s="19" t="n">
        <x:v>3</x:v>
      </x:c>
      <x:c r="J43" s="19" t="n">
        <x:v>3</x:v>
      </x:c>
      <x:c r="K43" s="19" t="n">
        <x:v>3</x:v>
      </x:c>
      <x:c r="L43" s="19" t="n">
        <x:v>3</x:v>
      </x:c>
      <x:c r="M43" s="19" t="n">
        <x:v>3</x:v>
      </x:c>
      <x:c r="N43" s="19" t="n">
        <x:v>1</x:v>
      </x:c>
      <x:c r="O43" s="19" t="n">
        <x:v>3</x:v>
      </x:c>
      <x:c r="P43" s="19" t="n">
        <x:v>3</x:v>
      </x:c>
      <x:c r="Q43" s="19" t="n">
        <x:v>3</x:v>
      </x:c>
      <x:c r="R43" s="19" t="n">
        <x:v>3</x:v>
      </x:c>
      <x:c r="S43" s="19" t="n">
        <x:v>3</x:v>
      </x:c>
      <x:c r="T43" s="19" t="n">
        <x:v>3</x:v>
      </x:c>
      <x:c r="U43" s="19" t="n">
        <x:v>3</x:v>
      </x:c>
      <x:c r="V43" s="19" t="n">
        <x:v>3</x:v>
      </x:c>
      <x:c r="W43" s="19" t="n">
        <x:v>2</x:v>
      </x:c>
      <x:c r="X43" s="19" t="n">
        <x:v>2</x:v>
      </x:c>
      <x:c r="Y43" s="20" t="n">
        <x:v>49</x:v>
      </x:c>
      <x:c r="Z43" s="20" t="n">
        <x:v>25</x:v>
      </x:c>
      <x:c r="AA43" s="21" t="n">
        <x:v>0.04</x:v>
      </x:c>
      <x:c r="AB43" s="21" t="n">
        <x:v>0.03</x:v>
      </x:c>
      <x:c r="AC43" s="20" t="n">
        <x:v>3</x:v>
      </x:c>
      <x:c r="AD43" s="20" t="n">
        <x:v>25</x:v>
      </x:c>
      <x:c r="AE43" s="20" t="n">
        <x:v>0.25</x:v>
      </x:c>
      <x:c r="AF43" s="20" t="n">
        <x:v>0.5</x:v>
      </x:c>
      <x:c r="AG43" s="20" t="n">
        <x:v>0.15</x:v>
      </x:c>
      <x:c r="AH43" s="20" t="n">
        <x:v>1</x:v>
      </x:c>
      <x:c r="AI43" s="20" t="n">
        <x:v>100</x:v>
      </x:c>
      <x:c r="AJ43" s="20" t="n">
        <x:v>10</x:v>
      </x:c>
      <x:c r="AK43" s="20" t="n">
        <x:v>0.5</x:v>
      </x:c>
      <x:c r="AL43" s="20" t="n">
        <x:v>12</x:v>
      </x:c>
      <x:c r="AM43" s="10" t="str">
        <x:v>50–500 SKU seller owner</x:v>
      </x:c>
      <x:c r="AN43" s="10" t="str">
        <x:v>Maliyet/komisyon değişimi</x:v>
      </x:c>
      <x:c r="AO43" s="10" t="str">
        <x:v>Free tek SKU→paid batch</x:v>
      </x:c>
      <x:c r="AP43" s="22" t="str">
        <x:v>Para fixture/tevkifat semantiği</x:v>
      </x:c>
      <x:c r="AQ43" s="22" t="str">
        <x:v>Kaynak-belge gözlemi; müşteri/tahsilat ve dış pilot doğrulanmadı</x:v>
      </x:c>
      <x:c r="AR43" s="22" t="str">
        <x:v>Dönem kıyası ikinci rota</x:v>
      </x:c>
      <x:c r="AS43" s="22" t="str">
        <x:v>Para fixture/tevkifat semantiği için tek sentetik/izinli örnekte kabul kaydı.</x:v>
      </x:c>
      <x:c r="AT43" s="17" t="n">
        <x:v>0</x:v>
      </x:c>
    </x:row>
    <x:row r="44" ht="58" customHeight="1">
      <x:c r="A44" s="2" t="str">
        <x:v>Aile-40</x:v>
      </x:c>
      <x:c r="B44" s="2" t="str">
        <x:v>Titanlar uygulama kohortu</x:v>
      </x:c>
      <x:c r="C44" s="2" t="str">
        <x:v>service</x:v>
      </x:c>
      <x:c r="D44" s="19" t="n">
        <x:v>1</x:v>
      </x:c>
      <x:c r="E44" s="19" t="n">
        <x:v>1</x:v>
      </x:c>
      <x:c r="F44" s="19" t="n">
        <x:v>1</x:v>
      </x:c>
      <x:c r="G44" s="19" t="n">
        <x:v>1</x:v>
      </x:c>
      <x:c r="H44" s="19" t="n">
        <x:v>1</x:v>
      </x:c>
      <x:c r="I44" s="19" t="n">
        <x:v>3</x:v>
      </x:c>
      <x:c r="J44" s="19" t="n">
        <x:v>3</x:v>
      </x:c>
      <x:c r="K44" s="19" t="n">
        <x:v>3</x:v>
      </x:c>
      <x:c r="L44" s="19" t="n">
        <x:v>2</x:v>
      </x:c>
      <x:c r="M44" s="19" t="n">
        <x:v>3</x:v>
      </x:c>
      <x:c r="N44" s="19" t="n">
        <x:v>2</x:v>
      </x:c>
      <x:c r="O44" s="19" t="n">
        <x:v>3</x:v>
      </x:c>
      <x:c r="P44" s="19" t="n">
        <x:v>2</x:v>
      </x:c>
      <x:c r="Q44" s="19" t="n">
        <x:v>0</x:v>
      </x:c>
      <x:c r="R44" s="19" t="n">
        <x:v>3</x:v>
      </x:c>
      <x:c r="S44" s="19" t="n">
        <x:v>2</x:v>
      </x:c>
      <x:c r="T44" s="19" t="n">
        <x:v>3</x:v>
      </x:c>
      <x:c r="U44" s="19" t="n">
        <x:v>2</x:v>
      </x:c>
      <x:c r="V44" s="19" t="n">
        <x:v>2</x:v>
      </x:c>
      <x:c r="W44" s="19" t="n">
        <x:v>1</x:v>
      </x:c>
      <x:c r="X44" s="19" t="n">
        <x:v>3</x:v>
      </x:c>
      <x:c r="Y44" s="20" t="n">
        <x:v>250</x:v>
      </x:c>
      <x:c r="Z44" s="20" t="n">
        <x:v>100</x:v>
      </x:c>
      <x:c r="AA44" s="21" t="n">
        <x:v>0.04</x:v>
      </x:c>
      <x:c r="AB44" s="21" t="n">
        <x:v>0.02</x:v>
      </x:c>
      <x:c r="AC44" s="20" t="n">
        <x:v>2</x:v>
      </x:c>
      <x:c r="AD44" s="20" t="n">
        <x:v>35</x:v>
      </x:c>
      <x:c r="AE44" s="20" t="n">
        <x:v>3</x:v>
      </x:c>
      <x:c r="AF44" s="20" t="n">
        <x:v>3</x:v>
      </x:c>
      <x:c r="AG44" s="20" t="n">
        <x:v>0.5</x:v>
      </x:c>
      <x:c r="AH44" s="20" t="n">
        <x:v>1</x:v>
      </x:c>
      <x:c r="AI44" s="20" t="n">
        <x:v>150</x:v>
      </x:c>
      <x:c r="AJ44" s="20" t="n">
        <x:v>15</x:v>
      </x:c>
      <x:c r="AK44" s="20" t="n">
        <x:v>0.5</x:v>
      </x:c>
      <x:c r="AL44" s="20" t="n">
        <x:v>8</x:v>
      </x:c>
      <x:c r="AM44" s="10" t="str">
        <x:v>Satıcı/üretici buyer</x:v>
      </x:c>
      <x:c r="AN44" s="10" t="str">
        <x:v>Kendi mağaza maliyet problemi</x:v>
      </x:c>
      <x:c r="AO44" s="10" t="str">
        <x:v>Özgün ücretsiz SKU dersi</x:v>
      </x:c>
      <x:c r="AP44" s="22" t="str">
        <x:v>Tahsilat/kapsam/özgün içerik</x:v>
      </x:c>
      <x:c r="AQ44" s="22" t="str">
        <x:v>Kaynak-belge gözlemi; müşteri/tahsilat ve dış pilot doğrulanmadı</x:v>
      </x:c>
      <x:c r="AR44" s="22" t="str">
        <x:v>Geniş eğitim SaaS değil</x:v>
      </x:c>
      <x:c r="AS44" s="22" t="str">
        <x:v>Tahsilat/kapsam/özgün içerik için tek sentetik/izinli örnekte kabul kaydı.</x:v>
      </x:c>
      <x:c r="AT44" s="17" t="n">
        <x:v>0</x:v>
      </x:c>
    </x:row>
    <x:row r="45" ht="58" customHeight="1">
      <x:c r="A45" s="2" t="str">
        <x:v>Aile-41</x:v>
      </x:c>
      <x:c r="B45" s="2" t="str">
        <x:v>Operasyon kapsam kaydı</x:v>
      </x:c>
      <x:c r="C45" s="2" t="str">
        <x:v>internal</x:v>
      </x:c>
      <x:c r="D45" s="19" t="n">
        <x:v>0</x:v>
      </x:c>
      <x:c r="E45" s="19" t="n">
        <x:v>0</x:v>
      </x:c>
      <x:c r="F45" s="19" t="n">
        <x:v>0</x:v>
      </x:c>
      <x:c r="G45" s="19" t="n">
        <x:v>0</x:v>
      </x:c>
      <x:c r="H45" s="19" t="n">
        <x:v>0</x:v>
      </x:c>
      <x:c r="I45" s="19" t="n">
        <x:v>0</x:v>
      </x:c>
      <x:c r="J45" s="19" t="n">
        <x:v>0</x:v>
      </x:c>
      <x:c r="K45" s="19" t="n">
        <x:v>0</x:v>
      </x:c>
      <x:c r="L45" s="19" t="n">
        <x:v>0</x:v>
      </x:c>
      <x:c r="M45" s="19" t="n">
        <x:v>0</x:v>
      </x:c>
      <x:c r="N45" s="19" t="n">
        <x:v>0</x:v>
      </x:c>
      <x:c r="O45" s="19" t="n">
        <x:v>0</x:v>
      </x:c>
      <x:c r="P45" s="19" t="n">
        <x:v>0</x:v>
      </x:c>
      <x:c r="Q45" s="19" t="n">
        <x:v>0</x:v>
      </x:c>
      <x:c r="R45" s="19" t="n">
        <x:v>0</x:v>
      </x:c>
      <x:c r="S45" s="19" t="n">
        <x:v>0</x:v>
      </x:c>
      <x:c r="T45" s="19" t="n">
        <x:v>0</x:v>
      </x:c>
      <x:c r="U45" s="19" t="n">
        <x:v>0</x:v>
      </x:c>
      <x:c r="V45" s="19" t="n">
        <x:v>0</x:v>
      </x:c>
      <x:c r="W45" s="19" t="n">
        <x:v>0</x:v>
      </x:c>
      <x:c r="X45" s="19" t="n">
        <x:v>0</x:v>
      </x:c>
      <x:c r="Y45" s="20" t="n">
        <x:v>0</x:v>
      </x:c>
      <x:c r="Z45" s="20" t="n">
        <x:v>0</x:v>
      </x:c>
      <x:c r="AA45" s="21" t="n">
        <x:v>0</x:v>
      </x:c>
      <x:c r="AB45" s="21" t="n">
        <x:v>0</x:v>
      </x:c>
      <x:c r="AC45" s="20" t="n">
        <x:v>0</x:v>
      </x:c>
      <x:c r="AD45" s="20" t="n">
        <x:v>0</x:v>
      </x:c>
      <x:c r="AE45" s="20" t="n">
        <x:v>0</x:v>
      </x:c>
      <x:c r="AF45" s="20" t="n">
        <x:v>0</x:v>
      </x:c>
      <x:c r="AG45" s="20" t="n">
        <x:v>0</x:v>
      </x:c>
      <x:c r="AH45" s="20" t="n">
        <x:v>1</x:v>
      </x:c>
      <x:c r="AI45" s="20" t="n">
        <x:v>0</x:v>
      </x:c>
      <x:c r="AJ45" s="20" t="n">
        <x:v>0</x:v>
      </x:c>
      <x:c r="AK45" s="20" t="n">
        <x:v>0</x:v>
      </x:c>
      <x:c r="AL45" s="20" t="n">
        <x:v>0</x:v>
      </x:c>
      <x:c r="AM45" s="10" t="str">
        <x:v>Scope ledger</x:v>
      </x:c>
      <x:c r="AN45" s="10" t="str">
        <x:v>Yayın sınırlama</x:v>
      </x:c>
      <x:c r="AO45" s="10" t="str">
        <x:v>Katalog kapsam kaydı</x:v>
      </x:c>
      <x:c r="AP45" s="22" t="str">
        <x:v>Hassas operasyon; yatırım yok</x:v>
      </x:c>
      <x:c r="AQ45" s="22" t="str">
        <x:v>Kaynak-belge gözlemi; müşteri/tahsilat ve dış pilot doğrulanmadı</x:v>
      </x:c>
      <x:c r="AR45" s="22" t="str">
        <x:v>Özel adres/işlem detayı dışarıda</x:v>
      </x:c>
      <x:c r="AS45" s="22" t="str">
        <x:v>Hassas operasyon; yatırım yok için tek sentetik/izinli örnekte kabul kaydı.</x:v>
      </x:c>
      <x:c r="AT45" s="17" t="n">
        <x:v>0</x:v>
      </x:c>
    </x:row>
    <x:row r="46" ht="58" customHeight="1">
      <x:c r="A46" s="2" t="str">
        <x:v>Aile-42</x:v>
      </x:c>
      <x:c r="B46" s="2" t="str">
        <x:v>Viseos operasyon</x:v>
      </x:c>
      <x:c r="C46" s="2" t="str">
        <x:v>recurring</x:v>
      </x:c>
      <x:c r="D46" s="19" t="n">
        <x:v>1</x:v>
      </x:c>
      <x:c r="E46" s="19" t="n">
        <x:v>1</x:v>
      </x:c>
      <x:c r="F46" s="19" t="n">
        <x:v>1</x:v>
      </x:c>
      <x:c r="G46" s="19" t="n">
        <x:v>1</x:v>
      </x:c>
      <x:c r="H46" s="19" t="n">
        <x:v>1</x:v>
      </x:c>
      <x:c r="I46" s="19" t="n">
        <x:v>3</x:v>
      </x:c>
      <x:c r="J46" s="19" t="n">
        <x:v>3</x:v>
      </x:c>
      <x:c r="K46" s="19" t="n">
        <x:v>3</x:v>
      </x:c>
      <x:c r="L46" s="19" t="n">
        <x:v>3</x:v>
      </x:c>
      <x:c r="M46" s="19" t="n">
        <x:v>3</x:v>
      </x:c>
      <x:c r="N46" s="19" t="n">
        <x:v>1</x:v>
      </x:c>
      <x:c r="O46" s="19" t="n">
        <x:v>3</x:v>
      </x:c>
      <x:c r="P46" s="19" t="n">
        <x:v>2</x:v>
      </x:c>
      <x:c r="Q46" s="19" t="n">
        <x:v>2</x:v>
      </x:c>
      <x:c r="R46" s="19" t="n">
        <x:v>3</x:v>
      </x:c>
      <x:c r="S46" s="19" t="n">
        <x:v>3</x:v>
      </x:c>
      <x:c r="T46" s="19" t="n">
        <x:v>2</x:v>
      </x:c>
      <x:c r="U46" s="19" t="n">
        <x:v>3</x:v>
      </x:c>
      <x:c r="V46" s="19" t="n">
        <x:v>3</x:v>
      </x:c>
      <x:c r="W46" s="19" t="n">
        <x:v>1</x:v>
      </x:c>
      <x:c r="X46" s="19" t="n">
        <x:v>1</x:v>
      </x:c>
      <x:c r="Y46" s="20" t="n">
        <x:v>89</x:v>
      </x:c>
      <x:c r="Z46" s="20" t="n">
        <x:v>15</x:v>
      </x:c>
      <x:c r="AA46" s="21" t="n">
        <x:v>0.04</x:v>
      </x:c>
      <x:c r="AB46" s="21" t="n">
        <x:v>0.03</x:v>
      </x:c>
      <x:c r="AC46" s="20" t="n">
        <x:v>10</x:v>
      </x:c>
      <x:c r="AD46" s="20" t="n">
        <x:v>90</x:v>
      </x:c>
      <x:c r="AE46" s="20" t="n">
        <x:v>3</x:v>
      </x:c>
      <x:c r="AF46" s="20" t="n">
        <x:v>1</x:v>
      </x:c>
      <x:c r="AG46" s="20" t="n">
        <x:v>0.8</x:v>
      </x:c>
      <x:c r="AH46" s="20" t="n">
        <x:v>3</x:v>
      </x:c>
      <x:c r="AI46" s="20" t="n">
        <x:v>250</x:v>
      </x:c>
      <x:c r="AJ46" s="20" t="n">
        <x:v>20</x:v>
      </x:c>
      <x:c r="AK46" s="20" t="n">
        <x:v>0.75</x:v>
      </x:c>
      <x:c r="AL46" s="20" t="n">
        <x:v>8</x:v>
      </x:c>
      <x:c r="AM46" s="10" t="str">
        <x:v>Vize acentesi operasyon owner</x:v>
      </x:c>
      <x:c r="AN46" s="10" t="str">
        <x:v>Günlük dosya hazırlığı</x:v>
      </x:c>
      <x:c r="AO46" s="10" t="str">
        <x:v>Synthetic preflight→yetkili pilot</x:v>
      </x:c>
      <x:c r="AP46" s="22" t="str">
        <x:v>Tenant/privacy/source/idempotency</x:v>
      </x:c>
      <x:c r="AQ46" s="22" t="str">
        <x:v>Kaynak-belge gözlemi; müşteri/tahsilat ve dış pilot doğrulanmadı</x:v>
      </x:c>
      <x:c r="AR46" s="22" t="str">
        <x:v>Slot yakalama gelir modeli yok</x:v>
      </x:c>
      <x:c r="AS46" s="22" t="str">
        <x:v>Tenant/privacy/source/idempotency için tek sentetik/izinli örnekte kabul kaydı.</x:v>
      </x:c>
      <x:c r="AT46" s="17" t="n">
        <x:v>0.05</x:v>
      </x:c>
    </x:row>
    <x:row r="47" ht="58" customHeight="1">
      <x:c r="A47" s="2" t="str">
        <x:v>Aile-43</x:v>
      </x:c>
      <x:c r="B47" s="2" t="str">
        <x:v>Volley Tap</x:v>
      </x:c>
      <x:c r="C47" s="2" t="str">
        <x:v>kit</x:v>
      </x:c>
      <x:c r="D47" s="19" t="n">
        <x:v>1</x:v>
      </x:c>
      <x:c r="E47" s="19" t="n">
        <x:v>1</x:v>
      </x:c>
      <x:c r="F47" s="19" t="n">
        <x:v>1</x:v>
      </x:c>
      <x:c r="G47" s="19" t="n">
        <x:v>1</x:v>
      </x:c>
      <x:c r="H47" s="19" t="n">
        <x:v>1</x:v>
      </x:c>
      <x:c r="I47" s="19" t="n">
        <x:v>1</x:v>
      </x:c>
      <x:c r="J47" s="19" t="n">
        <x:v>1</x:v>
      </x:c>
      <x:c r="K47" s="19" t="n">
        <x:v>2</x:v>
      </x:c>
      <x:c r="L47" s="19" t="n">
        <x:v>2</x:v>
      </x:c>
      <x:c r="M47" s="19" t="n">
        <x:v>1</x:v>
      </x:c>
      <x:c r="N47" s="19" t="n">
        <x:v>0</x:v>
      </x:c>
      <x:c r="O47" s="19" t="n">
        <x:v>3</x:v>
      </x:c>
      <x:c r="P47" s="19" t="n">
        <x:v>3</x:v>
      </x:c>
      <x:c r="Q47" s="19" t="n">
        <x:v>3</x:v>
      </x:c>
      <x:c r="R47" s="19" t="n">
        <x:v>2</x:v>
      </x:c>
      <x:c r="S47" s="19" t="n">
        <x:v>3</x:v>
      </x:c>
      <x:c r="T47" s="19" t="n">
        <x:v>3</x:v>
      </x:c>
      <x:c r="U47" s="19" t="n">
        <x:v>1</x:v>
      </x:c>
      <x:c r="V47" s="19" t="n">
        <x:v>1</x:v>
      </x:c>
      <x:c r="W47" s="19" t="n">
        <x:v>2</x:v>
      </x:c>
      <x:c r="X47" s="19" t="n">
        <x:v>1</x:v>
      </x:c>
      <x:c r="Y47" s="20" t="n">
        <x:v>5</x:v>
      </x:c>
      <x:c r="Z47" s="20" t="n">
        <x:v>2</x:v>
      </x:c>
      <x:c r="AA47" s="21" t="n">
        <x:v>0.06</x:v>
      </x:c>
      <x:c r="AB47" s="21" t="n">
        <x:v>0.04</x:v>
      </x:c>
      <x:c r="AC47" s="20" t="n">
        <x:v>3</x:v>
      </x:c>
      <x:c r="AD47" s="20" t="n">
        <x:v>30</x:v>
      </x:c>
      <x:c r="AE47" s="20" t="n">
        <x:v>0.25</x:v>
      </x:c>
      <x:c r="AF47" s="20" t="n">
        <x:v>0.1</x:v>
      </x:c>
      <x:c r="AG47" s="20" t="n">
        <x:v>0.1</x:v>
      </x:c>
      <x:c r="AH47" s="20" t="n">
        <x:v>1</x:v>
      </x:c>
      <x:c r="AI47" s="20" t="n">
        <x:v>75</x:v>
      </x:c>
      <x:c r="AJ47" s="20" t="n">
        <x:v>8</x:v>
      </x:c>
      <x:c r="AK47" s="20" t="n">
        <x:v>1</x:v>
      </x:c>
      <x:c r="AL47" s="20" t="n">
        <x:v>10</x:v>
      </x:c>
      <x:c r="AM47" s="10" t="str">
        <x:v>Oyuncu veya marka ajansı</x:v>
      </x:c>
      <x:c r="AN47" s="10" t="str">
        <x:v>Kısa oyun oturumu</x:v>
      </x:c>
      <x:c r="AO47" s="10" t="str">
        <x:v>Portal/download kabul yüzeyi</x:v>
      </x:c>
      <x:c r="AP47" s="22" t="str">
        <x:v>Portal/oyun QA ve içerik hakları</x:v>
      </x:c>
      <x:c r="AQ47" s="22" t="str">
        <x:v>Kaynak-belge gözlemi; müşteri/tahsilat ve dış pilot doğrulanmadı</x:v>
      </x:c>
      <x:c r="AR47" s="22" t="str">
        <x:v>Trafik/retention ölçülmeden passive gelire bağlanmaz</x:v>
      </x:c>
      <x:c r="AS47" s="22" t="str">
        <x:v>Portal/oyun QA ve içerik hakları için tek sentetik/izinli örnekte kabul kaydı.</x:v>
      </x:c>
      <x:c r="AT47" s="17" t="n">
        <x:v>0</x:v>
      </x:c>
    </x:row>
    <x:row r="48" ht="58" customHeight="1">
      <x:c r="A48" s="2" t="str">
        <x:v>Aile-44</x:v>
      </x:c>
      <x:c r="B48" s="2" t="str">
        <x:v>Woo yorum migration</x:v>
      </x:c>
      <x:c r="C48" s="2" t="str">
        <x:v>dossier</x:v>
      </x:c>
      <x:c r="D48" s="19" t="n">
        <x:v>1</x:v>
      </x:c>
      <x:c r="E48" s="19" t="n">
        <x:v>1</x:v>
      </x:c>
      <x:c r="F48" s="19" t="n">
        <x:v>1</x:v>
      </x:c>
      <x:c r="G48" s="19" t="n">
        <x:v>1</x:v>
      </x:c>
      <x:c r="H48" s="19" t="n">
        <x:v>1</x:v>
      </x:c>
      <x:c r="I48" s="19" t="n">
        <x:v>3</x:v>
      </x:c>
      <x:c r="J48" s="19" t="n">
        <x:v>3</x:v>
      </x:c>
      <x:c r="K48" s="19" t="n">
        <x:v>3</x:v>
      </x:c>
      <x:c r="L48" s="19" t="n">
        <x:v>3</x:v>
      </x:c>
      <x:c r="M48" s="19" t="n">
        <x:v>3</x:v>
      </x:c>
      <x:c r="N48" s="19" t="n">
        <x:v>2</x:v>
      </x:c>
      <x:c r="O48" s="19" t="n">
        <x:v>2</x:v>
      </x:c>
      <x:c r="P48" s="19" t="n">
        <x:v>2</x:v>
      </x:c>
      <x:c r="Q48" s="19" t="n">
        <x:v>1</x:v>
      </x:c>
      <x:c r="R48" s="19" t="n">
        <x:v>3</x:v>
      </x:c>
      <x:c r="S48" s="19" t="n">
        <x:v>2</x:v>
      </x:c>
      <x:c r="T48" s="19" t="n">
        <x:v>3</x:v>
      </x:c>
      <x:c r="U48" s="19" t="n">
        <x:v>1</x:v>
      </x:c>
      <x:c r="V48" s="19" t="n">
        <x:v>2</x:v>
      </x:c>
      <x:c r="W48" s="19" t="n">
        <x:v>1</x:v>
      </x:c>
      <x:c r="X48" s="19" t="n">
        <x:v>2</x:v>
      </x:c>
      <x:c r="Y48" s="20" t="n">
        <x:v>120</x:v>
      </x:c>
      <x:c r="Z48" s="20" t="n">
        <x:v>15</x:v>
      </x:c>
      <x:c r="AA48" s="21" t="n">
        <x:v>0.04</x:v>
      </x:c>
      <x:c r="AB48" s="21" t="n">
        <x:v>0.03</x:v>
      </x:c>
      <x:c r="AC48" s="20" t="n">
        <x:v>3</x:v>
      </x:c>
      <x:c r="AD48" s="20" t="n">
        <x:v>35</x:v>
      </x:c>
      <x:c r="AE48" s="20" t="n">
        <x:v>2</x:v>
      </x:c>
      <x:c r="AF48" s="20" t="n">
        <x:v>3</x:v>
      </x:c>
      <x:c r="AG48" s="20" t="n">
        <x:v>0.15</x:v>
      </x:c>
      <x:c r="AH48" s="20" t="n">
        <x:v>1</x:v>
      </x:c>
      <x:c r="AI48" s="20" t="n">
        <x:v>100</x:v>
      </x:c>
      <x:c r="AJ48" s="20" t="n">
        <x:v>10</x:v>
      </x:c>
      <x:c r="AK48" s="20" t="n">
        <x:v>0.5</x:v>
      </x:c>
      <x:c r="AL48" s="20" t="n">
        <x:v>12</x:v>
      </x:c>
      <x:c r="AM48" s="10" t="str">
        <x:v>WooCommerce mağaza owner</x:v>
      </x:c>
      <x:c r="AN48" s="10" t="str">
        <x:v>Katalog migration</x:v>
      </x:c>
      <x:c r="AO48" s="10" t="str">
        <x:v>Ajans göç teslimine fixture</x:v>
      </x:c>
      <x:c r="AP48" s="22" t="str">
        <x:v>Gerçek repository/import doğruluğu</x:v>
      </x:c>
      <x:c r="AQ48" s="22" t="str">
        <x:v>Kaynak-belge gözlemi; müşteri/tahsilat ve dış pilot doğrulanmadı</x:v>
      </x:c>
      <x:c r="AR48" s="22" t="str">
        <x:v>TR taksit yeni ayrı ürün</x:v>
      </x:c>
      <x:c r="AS48" s="22" t="str">
        <x:v>Gerçek repository/import doğruluğu için tek sentetik/izinli örnekte kabul kaydı.</x:v>
      </x:c>
      <x:c r="AT48" s="17" t="n">
        <x:v>0</x:v>
      </x:c>
    </x:row>
    <x:row r="49" ht="58" customHeight="1">
      <x:c r="A49" s="2" t="str">
        <x:v>Aile-45</x:v>
      </x:c>
      <x:c r="B49" s="2" t="str">
        <x:v>WP Türkiye dar niş</x:v>
      </x:c>
      <x:c r="C49" s="2" t="str">
        <x:v>recurring</x:v>
      </x:c>
      <x:c r="D49" s="19" t="n">
        <x:v>1</x:v>
      </x:c>
      <x:c r="E49" s="19" t="n">
        <x:v>1</x:v>
      </x:c>
      <x:c r="F49" s="19" t="n">
        <x:v>1</x:v>
      </x:c>
      <x:c r="G49" s="19" t="n">
        <x:v>1</x:v>
      </x:c>
      <x:c r="H49" s="19" t="n">
        <x:v>1</x:v>
      </x:c>
      <x:c r="I49" s="19" t="n">
        <x:v>3</x:v>
      </x:c>
      <x:c r="J49" s="19" t="n">
        <x:v>2</x:v>
      </x:c>
      <x:c r="K49" s="19" t="n">
        <x:v>2</x:v>
      </x:c>
      <x:c r="L49" s="19" t="n">
        <x:v>3</x:v>
      </x:c>
      <x:c r="M49" s="19" t="n">
        <x:v>3</x:v>
      </x:c>
      <x:c r="N49" s="19" t="n">
        <x:v>2</x:v>
      </x:c>
      <x:c r="O49" s="19" t="n">
        <x:v>1</x:v>
      </x:c>
      <x:c r="P49" s="19" t="n">
        <x:v>2</x:v>
      </x:c>
      <x:c r="Q49" s="19" t="n">
        <x:v>2</x:v>
      </x:c>
      <x:c r="R49" s="19" t="n">
        <x:v>2</x:v>
      </x:c>
      <x:c r="S49" s="19" t="n">
        <x:v>1</x:v>
      </x:c>
      <x:c r="T49" s="19" t="n">
        <x:v>2</x:v>
      </x:c>
      <x:c r="U49" s="19" t="n">
        <x:v>3</x:v>
      </x:c>
      <x:c r="V49" s="19" t="n">
        <x:v>2</x:v>
      </x:c>
      <x:c r="W49" s="19" t="n">
        <x:v>1</x:v>
      </x:c>
      <x:c r="X49" s="19" t="n">
        <x:v>1</x:v>
      </x:c>
      <x:c r="Y49" s="20" t="n">
        <x:v>29</x:v>
      </x:c>
      <x:c r="Z49" s="20" t="n">
        <x:v>4</x:v>
      </x:c>
      <x:c r="AA49" s="21" t="n">
        <x:v>0.04</x:v>
      </x:c>
      <x:c r="AB49" s="21" t="n">
        <x:v>0.03</x:v>
      </x:c>
      <x:c r="AC49" s="20" t="n">
        <x:v>12</x:v>
      </x:c>
      <x:c r="AD49" s="20" t="n">
        <x:v>100</x:v>
      </x:c>
      <x:c r="AE49" s="20" t="n">
        <x:v>2</x:v>
      </x:c>
      <x:c r="AF49" s="20" t="n">
        <x:v>1</x:v>
      </x:c>
      <x:c r="AG49" s="20" t="n">
        <x:v>0.8</x:v>
      </x:c>
      <x:c r="AH49" s="20" t="n">
        <x:v>3</x:v>
      </x:c>
      <x:c r="AI49" s="20" t="n">
        <x:v>250</x:v>
      </x:c>
      <x:c r="AJ49" s="20" t="n">
        <x:v>20</x:v>
      </x:c>
      <x:c r="AK49" s="20" t="n">
        <x:v>0.75</x:v>
      </x:c>
      <x:c r="AL49" s="20" t="n">
        <x:v>8</x:v>
      </x:c>
      <x:c r="AM49" s="10" t="str">
        <x:v>WooCommerce ajans owner</x:v>
      </x:c>
      <x:c r="AN49" s="10" t="str">
        <x:v>İzin/taksit/checkout kuralı ihtiyacı</x:v>
      </x:c>
      <x:c r="AO49" s="10" t="str">
        <x:v>Gerçek ücretsiz plugin ve ajans demo</x:v>
      </x:c>
      <x:c r="AP49" s="22" t="str">
        <x:v>Platform policy/hak/veri/güncel kural</x:v>
      </x:c>
      <x:c r="AQ49" s="22" t="str">
        <x:v>Kaynak-belge gözlemi; müşteri/tahsilat ve dış pilot doğrulanmadı</x:v>
      </x:c>
      <x:c r="AR49" s="22" t="str">
        <x:v>Local trialware yok; hosted service veya dış add-on</x:v>
      </x:c>
      <x:c r="AS49" s="22" t="str">
        <x:v>Platform policy/hak/veri/güncel kural için tek sentetik/izinli örnekte kabul kaydı.</x:v>
      </x:c>
      <x:c r="AT49" s="17" t="n">
        <x:v>0.05</x:v>
      </x:c>
    </x:row>
    <x:row r="50" ht="58" customHeight="1">
      <x:c r="A50" s="2" t="str">
        <x:v>Aile-46</x:v>
      </x:c>
      <x:c r="B50" s="2" t="str">
        <x:v>Zabuno ana restoran ürünü</x:v>
      </x:c>
      <x:c r="C50" s="2" t="str">
        <x:v>recurring</x:v>
      </x:c>
      <x:c r="D50" s="19" t="n">
        <x:v>1</x:v>
      </x:c>
      <x:c r="E50" s="19" t="n">
        <x:v>1</x:v>
      </x:c>
      <x:c r="F50" s="19" t="n">
        <x:v>1</x:v>
      </x:c>
      <x:c r="G50" s="19" t="n">
        <x:v>1</x:v>
      </x:c>
      <x:c r="H50" s="19" t="n">
        <x:v>1</x:v>
      </x:c>
      <x:c r="I50" s="19" t="n">
        <x:v>3</x:v>
      </x:c>
      <x:c r="J50" s="19" t="n">
        <x:v>3</x:v>
      </x:c>
      <x:c r="K50" s="19" t="n">
        <x:v>3</x:v>
      </x:c>
      <x:c r="L50" s="19" t="n">
        <x:v>2</x:v>
      </x:c>
      <x:c r="M50" s="19" t="n">
        <x:v>2</x:v>
      </x:c>
      <x:c r="N50" s="19" t="n">
        <x:v>0</x:v>
      </x:c>
      <x:c r="O50" s="19" t="n">
        <x:v>3</x:v>
      </x:c>
      <x:c r="P50" s="19" t="n">
        <x:v>2</x:v>
      </x:c>
      <x:c r="Q50" s="19" t="n">
        <x:v>2</x:v>
      </x:c>
      <x:c r="R50" s="19" t="n">
        <x:v>3</x:v>
      </x:c>
      <x:c r="S50" s="19" t="n">
        <x:v>3</x:v>
      </x:c>
      <x:c r="T50" s="19" t="n">
        <x:v>2</x:v>
      </x:c>
      <x:c r="U50" s="19" t="n">
        <x:v>3</x:v>
      </x:c>
      <x:c r="V50" s="19" t="n">
        <x:v>3</x:v>
      </x:c>
      <x:c r="W50" s="19" t="n">
        <x:v>2</x:v>
      </x:c>
      <x:c r="X50" s="19" t="n">
        <x:v>2</x:v>
      </x:c>
      <x:c r="Y50" s="20" t="n">
        <x:v>39</x:v>
      </x:c>
      <x:c r="Z50" s="20" t="n">
        <x:v>5</x:v>
      </x:c>
      <x:c r="AA50" s="21" t="n">
        <x:v>0.04</x:v>
      </x:c>
      <x:c r="AB50" s="21" t="n">
        <x:v>0.03</x:v>
      </x:c>
      <x:c r="AC50" s="20" t="n">
        <x:v>8</x:v>
      </x:c>
      <x:c r="AD50" s="20" t="n">
        <x:v>70</x:v>
      </x:c>
      <x:c r="AE50" s="20" t="n">
        <x:v>2</x:v>
      </x:c>
      <x:c r="AF50" s="20" t="n">
        <x:v>1</x:v>
      </x:c>
      <x:c r="AG50" s="20" t="n">
        <x:v>0.5</x:v>
      </x:c>
      <x:c r="AH50" s="20" t="n">
        <x:v>3</x:v>
      </x:c>
      <x:c r="AI50" s="20" t="n">
        <x:v>250</x:v>
      </x:c>
      <x:c r="AJ50" s="20" t="n">
        <x:v>20</x:v>
      </x:c>
      <x:c r="AK50" s="20" t="n">
        <x:v>0.75</x:v>
      </x:c>
      <x:c r="AL50" s="20" t="n">
        <x:v>8</x:v>
      </x:c>
      <x:c r="AM50" s="10" t="str">
        <x:v>Kafe/restoran owner</x:v>
      </x:c>
      <x:c r="AN50" s="10" t="str">
        <x:v>Fiyat/ürün güncelleme</x:v>
      </x:c>
      <x:c r="AO50" s="10" t="str">
        <x:v>Gerçek pilot menü→izinli referans</x:v>
      </x:c>
      <x:c r="AP50" s="22" t="str">
        <x:v>Gerçek tahsilat ve servis acceptance</x:v>
      </x:c>
      <x:c r="AQ50" s="22" t="str">
        <x:v>Kaynak-belge gözlemi; müşteri/tahsilat ve dış pilot doğrulanmadı</x:v>
      </x:c>
      <x:c r="AR50" s="22" t="str">
        <x:v>E Menüm alan kuralları kaynak varlığı</x:v>
      </x:c>
      <x:c r="AS50" s="22" t="str">
        <x:v>Gerçek tahsilat ve servis acceptance için tek sentetik/izinli örnekte kabul kaydı.</x:v>
      </x:c>
      <x:c r="AT50" s="17" t="n">
        <x:v>0.05</x:v>
      </x:c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dataValidations count="3">
    <x:dataValidation type="decimal" operator="between" sqref="AT5:AT50">
      <x:formula1>0</x:formula1>
      <x:formula2>1</x:formula2>
    </x:dataValidation>
    <x:dataValidation type="whole" operator="between" sqref="D5:H50">
      <x:formula1>0</x:formula1>
      <x:formula2>2</x:formula2>
    </x:dataValidation>
    <x:dataValidation type="whole" operator="between" sqref="I5:X50">
      <x:formula1>0</x:formula1>
      <x:formula2>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AA8B4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16 puan sürücüsü ve rubrik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5" t="str">
        <x:v>ID</x:v>
      </x:c>
      <x:c r="B4" s="5" t="str">
        <x:v>Kategori</x:v>
      </x:c>
      <x:c r="C4" s="5" t="str">
        <x:v>Kriter</x:v>
      </x:c>
      <x:c r="D4" s="5" t="str">
        <x:v>Kategori içi ağırlık</x:v>
      </x:c>
      <x:c r="E4" s="5" t="str">
        <x:v>İlk nakit etki</x:v>
      </x:c>
      <x:c r="F4" s="5" t="str">
        <x:v>Self-service etki</x:v>
      </x:c>
      <x:c r="G4" s="5" t="str">
        <x:v>0</x:v>
      </x:c>
      <x:c r="H4" s="5" t="str">
        <x:v>1</x:v>
      </x:c>
      <x:c r="I4" s="5" t="str">
        <x:v>2</x:v>
      </x:c>
      <x:c r="J4" s="5" t="str">
        <x:v>3</x:v>
      </x:c>
      <x:c r="K4" s="5" t="str">
        <x:v>4</x:v>
      </x:c>
      <x:c r="L4" s="5" t="str">
        <x:v>5</x:v>
      </x:c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62" customHeight="1">
      <x:c r="A5" s="10" t="str">
        <x:v>D1</x:v>
      </x:c>
      <x:c r="B5" s="10" t="str">
        <x:v>D</x:v>
      </x:c>
      <x:c r="C5" s="10" t="str">
        <x:v>Satın alma tetikleyicisi</x:v>
      </x:c>
      <x:c r="D5" s="11" t="n">
        <x:v>0.4</x:v>
      </x:c>
      <x:c r="E5" s="12" t="n">
        <x:f>D5*'Ayarlar'!B14</x:f>
        <x:v>0.1</x:v>
      </x:c>
      <x:c r="F5" s="12" t="n">
        <x:f>D5*'Ayarlar'!C14</x:f>
        <x:v>0.08000000000000002</x:v>
      </x:c>
      <x:c r="G5" s="10" t="str">
        <x:v>Yok</x:v>
      </x:c>
      <x:c r="H5" s="10" t="str">
        <x:v>Genel merak</x:v>
      </x:c>
      <x:c r="I5" s="10" t="str">
        <x:v>Tekrar eden görev hipotezi</x:v>
      </x:c>
      <x:c r="J5" s="10" t="str">
        <x:v>Tarihli iş ve rol belli</x:v>
      </x:c>
      <x:c r="K5" s="10" t="str">
        <x:v>Yakın iş üzerinde kullanıcı doğrulaması</x:v>
      </x:c>
      <x:c r="L5" s="10" t="str">
        <x:v>Davranışla doğrulanmış acil iş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62" customHeight="1">
      <x:c r="A6" s="10" t="str">
        <x:v>D2</x:v>
      </x:c>
      <x:c r="B6" s="10" t="str">
        <x:v>D</x:v>
      </x:c>
      <x:c r="C6" s="10" t="str">
        <x:v>Bütçe sahibi ve teklif netliği</x:v>
      </x:c>
      <x:c r="D6" s="11" t="n">
        <x:v>0.3</x:v>
      </x:c>
      <x:c r="E6" s="12" t="n">
        <x:f>D6*'Ayarlar'!B14</x:f>
        <x:v>0.075</x:v>
      </x:c>
      <x:c r="F6" s="12" t="n">
        <x:f>D6*'Ayarlar'!C14</x:f>
        <x:v>0.06</x:v>
      </x:c>
      <x:c r="G6" s="10" t="str">
        <x:v>Alıcı yok</x:v>
      </x:c>
      <x:c r="H6" s="10" t="str">
        <x:v>Kullanıcı varsayımı</x:v>
      </x:c>
      <x:c r="I6" s="10" t="str">
        <x:v>Alıcı rolü var</x:v>
      </x:c>
      <x:c r="J6" s="10" t="str">
        <x:v>Kapsam ve ekonomik alıcı belli</x:v>
      </x:c>
      <x:c r="K6" s="10" t="str">
        <x:v>Fiyat görüşmesi kayıtlı</x:v>
      </x:c>
      <x:c r="L6" s="10" t="str">
        <x:v>Tahsil edilmiş kapsam aynı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62" customHeight="1">
      <x:c r="A7" s="10" t="str">
        <x:v>D3</x:v>
      </x:c>
      <x:c r="B7" s="10" t="str">
        <x:v>D</x:v>
      </x:c>
      <x:c r="C7" s="10" t="str">
        <x:v>Ölçülebilir iş sonucu</x:v>
      </x:c>
      <x:c r="D7" s="11" t="n">
        <x:v>0.3</x:v>
      </x:c>
      <x:c r="E7" s="12" t="n">
        <x:f>D7*'Ayarlar'!B14</x:f>
        <x:v>0.075</x:v>
      </x:c>
      <x:c r="F7" s="12" t="n">
        <x:f>D7*'Ayarlar'!C14</x:f>
        <x:v>0.06</x:v>
      </x:c>
      <x:c r="G7" s="10" t="str">
        <x:v>Çıktı yok</x:v>
      </x:c>
      <x:c r="H7" s="10" t="str">
        <x:v>Görsel rahatlık</x:v>
      </x:c>
      <x:c r="I7" s="10" t="str">
        <x:v>Çıktı tarifli</x:v>
      </x:c>
      <x:c r="J7" s="10" t="str">
        <x:v>Önce/sonra ölçümü tasarlanmış</x:v>
      </x:c>
      <x:c r="K7" s="10" t="str">
        <x:v>Kabul edilmiş müşteri çıktısı</x:v>
      </x:c>
      <x:c r="L7" s="10" t="str">
        <x:v>Tekrarlı ölçülmüş kazanım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62" customHeight="1">
      <x:c r="A8" s="10" t="str">
        <x:v>C1</x:v>
      </x:c>
      <x:c r="B8" s="10" t="str">
        <x:v>C</x:v>
      </x:c>
      <x:c r="C8" s="10" t="str">
        <x:v>Hedef kitlenin kanal yoğunluğu</x:v>
      </x:c>
      <x:c r="D8" s="11" t="n">
        <x:v>0.3</x:v>
      </x:c>
      <x:c r="E8" s="12" t="n">
        <x:f>D8*'Ayarlar'!B15</x:f>
        <x:v>0.09</x:v>
      </x:c>
      <x:c r="F8" s="12" t="n">
        <x:f>D8*'Ayarlar'!C15</x:f>
        <x:v>0.105</x:v>
      </x:c>
      <x:c r="G8" s="10" t="str">
        <x:v>Yüzey yok</x:v>
      </x:c>
      <x:c r="H8" s="10" t="str">
        <x:v>Genel sosyal ağ</x:v>
      </x:c>
      <x:c r="I8" s="10" t="str">
        <x:v>Özgün arama/listing yüzeyi</x:v>
      </x:c>
      <x:c r="J8" s="10" t="str">
        <x:v>Aynı iş yapan yoğun meslek ağı</x:v>
      </x:c>
      <x:c r="K8" s="10" t="str">
        <x:v>Erişim izni ve aktif deneme</x:v>
      </x:c>
      <x:c r="L8" s="10" t="str">
        <x:v>Aynı kanaldan tekrarlı ödeme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62" customHeight="1">
      <x:c r="A9" s="10" t="str">
        <x:v>C2</x:v>
      </x:c>
      <x:c r="B9" s="10" t="str">
        <x:v>C</x:v>
      </x:c>
      <x:c r="C9" s="10" t="str">
        <x:v>Alış niyetine uygun keşif</x:v>
      </x:c>
      <x:c r="D9" s="11" t="n">
        <x:v>0.4</x:v>
      </x:c>
      <x:c r="E9" s="12" t="n">
        <x:f>D9*'Ayarlar'!B15</x:f>
        <x:v>0.12</x:v>
      </x:c>
      <x:c r="F9" s="12" t="n">
        <x:f>D9*'Ayarlar'!C15</x:f>
        <x:v>0.13999999999999999</x:v>
      </x:c>
      <x:c r="G9" s="10" t="str">
        <x:v>Keşif yok</x:v>
      </x:c>
      <x:c r="H9" s="10" t="str">
        <x:v>Genel farkındalık</x:v>
      </x:c>
      <x:c r="I9" s="10" t="str">
        <x:v>Örnekle probleme erişim</x:v>
      </x:c>
      <x:c r="J9" s="10" t="str">
        <x:v>Ürüne yakın arama/iş anı</x:v>
      </x:c>
      <x:c r="K9" s="10" t="str">
        <x:v>Kendi örneğiyle aktivasyon</x:v>
      </x:c>
      <x:c r="L9" s="10" t="str">
        <x:v>Ölçülmüş keşif→ödeme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62" customHeight="1">
      <x:c r="A10" s="10" t="str">
        <x:v>C3</x:v>
      </x:c>
      <x:c r="B10" s="10" t="str">
        <x:v>C</x:v>
      </x:c>
      <x:c r="C10" s="10" t="str">
        <x:v>Alıcının işiyle taşınan referans</x:v>
      </x:c>
      <x:c r="D10" s="11" t="n">
        <x:v>0.3</x:v>
      </x:c>
      <x:c r="E10" s="12" t="n">
        <x:f>D10*'Ayarlar'!B15</x:f>
        <x:v>0.09</x:v>
      </x:c>
      <x:c r="F10" s="12" t="n">
        <x:f>D10*'Ayarlar'!C15</x:f>
        <x:v>0.105</x:v>
      </x:c>
      <x:c r="G10" s="10" t="str">
        <x:v>Paylaşım yok</x:v>
      </x:c>
      <x:c r="H10" s="10" t="str">
        <x:v>Rastgele viral varsayım</x:v>
      </x:c>
      <x:c r="I10" s="10" t="str">
        <x:v>Alıcıya teslim edilebilir örnek</x:v>
      </x:c>
      <x:c r="J10" s="10" t="str">
        <x:v>Aynı rolün göreceği izinli çıktı</x:v>
      </x:c>
      <x:c r="K10" s="10" t="str">
        <x:v>İzinli ikinci kullanıcı denemesi</x:v>
      </x:c>
      <x:c r="L10" s="10" t="str">
        <x:v>Ölçülmüş yeni ödeyen referans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62" customHeight="1">
      <x:c r="A11" s="10" t="str">
        <x:v>A1</x:v>
      </x:c>
      <x:c r="B11" s="10" t="str">
        <x:v>A</x:v>
      </x:c>
      <x:c r="C11" s="10" t="str">
        <x:v>İlk değerin açıklığı</x:v>
      </x:c>
      <x:c r="D11" s="11" t="n">
        <x:v>0.4</x:v>
      </x:c>
      <x:c r="E11" s="12" t="n">
        <x:f>D11*'Ayarlar'!B16</x:f>
        <x:v>0.08000000000000002</x:v>
      </x:c>
      <x:c r="F11" s="12" t="n">
        <x:f>D11*'Ayarlar'!C16</x:f>
        <x:v>0.1</x:v>
      </x:c>
      <x:c r="G11" s="10" t="str">
        <x:v>İş tamamlanmaz</x:v>
      </x:c>
      <x:c r="H11" s="10" t="str">
        <x:v>Uzun kurulum</x:v>
      </x:c>
      <x:c r="I11" s="10" t="str">
        <x:v>Örnek sonucu görülebilir</x:v>
      </x:c>
      <x:c r="J11" s="10" t="str">
        <x:v>Kendi girdisinde kabul işi net</x:v>
      </x:c>
      <x:c r="K11" s="10" t="str">
        <x:v>Dış kullanıcı ilk değeri tamamladı</x:v>
      </x:c>
      <x:c r="L11" s="10" t="str">
        <x:v>Yardımsız tekrar tamamlandı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62" customHeight="1">
      <x:c r="A12" s="10" t="str">
        <x:v>A2</x:v>
      </x:c>
      <x:c r="B12" s="10" t="str">
        <x:v>A</x:v>
      </x:c>
      <x:c r="C12" s="10" t="str">
        <x:v>Tahsilat akışının sadeliği</x:v>
      </x:c>
      <x:c r="D12" s="11" t="n">
        <x:v>0.2</x:v>
      </x:c>
      <x:c r="E12" s="12" t="n">
        <x:f>D12*'Ayarlar'!B16</x:f>
        <x:v>0.04000000000000001</x:v>
      </x:c>
      <x:c r="F12" s="12" t="n">
        <x:f>D12*'Ayarlar'!C16</x:f>
        <x:v>0.05</x:v>
      </x:c>
      <x:c r="G12" s="10" t="str">
        <x:v>Satış yolu yok</x:v>
      </x:c>
      <x:c r="H12" s="10" t="str">
        <x:v>Karmaşık sözleşme</x:v>
      </x:c>
      <x:c r="I12" s="10" t="str">
        <x:v>Teklif/fatura pilotu mümkün</x:v>
      </x:c>
      <x:c r="J12" s="10" t="str">
        <x:v>Basit paket/checkout tasarımı</x:v>
      </x:c>
      <x:c r="K12" s="10" t="str">
        <x:v>Test tahsilatı kanıtlı</x:v>
      </x:c>
      <x:c r="L12" s="10" t="str">
        <x:v>Aynı paket gerçek tahsilat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62" customHeight="1">
      <x:c r="A13" s="10" t="str">
        <x:v>A3</x:v>
      </x:c>
      <x:c r="B13" s="10" t="str">
        <x:v>A</x:v>
      </x:c>
      <x:c r="C13" s="10" t="str">
        <x:v>Yardımsız kullanım olanağı</x:v>
      </x:c>
      <x:c r="D13" s="11" t="n">
        <x:v>0.4</x:v>
      </x:c>
      <x:c r="E13" s="12" t="n">
        <x:f>D13*'Ayarlar'!B16</x:f>
        <x:v>0.08000000000000002</x:v>
      </x:c>
      <x:c r="F13" s="12" t="n">
        <x:f>D13*'Ayarlar'!C16</x:f>
        <x:v>0.1</x:v>
      </x:c>
      <x:c r="G13" s="10" t="str">
        <x:v>Tam uzman bağımlı</x:v>
      </x:c>
      <x:c r="H13" s="10" t="str">
        <x:v>Her dosya elle</x:v>
      </x:c>
      <x:c r="I13" s="10" t="str">
        <x:v>Sınırlı dosya self-service</x:v>
      </x:c>
      <x:c r="J13" s="10" t="str">
        <x:v>Şablonlu import/edit/export</x:v>
      </x:c>
      <x:c r="K13" s="10" t="str">
        <x:v>Dış kullanıcının yardımsız işi</x:v>
      </x:c>
      <x:c r="L13" s="10" t="str">
        <x:v>Tekrarlı düşük destek ölçüldü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62" customHeight="1">
      <x:c r="A14" s="10" t="str">
        <x:v>F1</x:v>
      </x:c>
      <x:c r="B14" s="10" t="str">
        <x:v>F</x:v>
      </x:c>
      <x:c r="C14" s="10" t="str">
        <x:v>İşe özgü alan bilgisi</x:v>
      </x:c>
      <x:c r="D14" s="11" t="n">
        <x:v>0.3</x:v>
      </x:c>
      <x:c r="E14" s="12" t="n">
        <x:f>D14*'Ayarlar'!B17</x:f>
        <x:v>0.03</x:v>
      </x:c>
      <x:c r="F14" s="12" t="n">
        <x:f>D14*'Ayarlar'!C17</x:f>
        <x:v>0.015</x:v>
      </x:c>
      <x:c r="G14" s="10" t="str">
        <x:v>Yeni bilinmeyen alan</x:v>
      </x:c>
      <x:c r="H14" s="10" t="str">
        <x:v>Genel bilgi</x:v>
      </x:c>
      <x:c r="I14" s="10" t="str">
        <x:v>Alan planı var</x:v>
      </x:c>
      <x:c r="J14" s="10" t="str">
        <x:v>Alan model/iş akışı var</x:v>
      </x:c>
      <x:c r="K14" s="10" t="str">
        <x:v>İzinli gerçek problem kanıtı</x:v>
      </x:c>
      <x:c r="L14" s="10" t="str">
        <x:v>Bağımsız doğrulanmış alan yetkinliği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62" customHeight="1">
      <x:c r="A15" s="10" t="str">
        <x:v>F2</x:v>
      </x:c>
      <x:c r="B15" s="10" t="str">
        <x:v>F</x:v>
      </x:c>
      <x:c r="C15" s="10" t="str">
        <x:v>Kullanılabilir kaynak varlığı</x:v>
      </x:c>
      <x:c r="D15" s="11" t="n">
        <x:v>0.4</x:v>
      </x:c>
      <x:c r="E15" s="12" t="n">
        <x:f>D15*'Ayarlar'!B17</x:f>
        <x:v>0.04000000000000001</x:v>
      </x:c>
      <x:c r="F15" s="12" t="n">
        <x:f>D15*'Ayarlar'!C17</x:f>
        <x:v>0.020000000000000004</x:v>
      </x:c>
      <x:c r="G15" s="10" t="str">
        <x:v>Varlık yok</x:v>
      </x:c>
      <x:c r="H15" s="10" t="str">
        <x:v>Yalnız not</x:v>
      </x:c>
      <x:c r="I15" s="10" t="str">
        <x:v>Prototip</x:v>
      </x:c>
      <x:c r="J15" s="10" t="str">
        <x:v>İşe yakın model/çıktı motoru</x:v>
      </x:c>
      <x:c r="K15" s="10" t="str">
        <x:v>İzinli uçtan uca artefact</x:v>
      </x:c>
      <x:c r="L15" s="10" t="str">
        <x:v>Dış tekrarlı kullanım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62" customHeight="1">
      <x:c r="A16" s="10" t="str">
        <x:v>F3</x:v>
      </x:c>
      <x:c r="B16" s="10" t="str">
        <x:v>F</x:v>
      </x:c>
      <x:c r="C16" s="10" t="str">
        <x:v>Dar kapsamın ayrıştırılabilirliği</x:v>
      </x:c>
      <x:c r="D16" s="11" t="n">
        <x:v>0.3</x:v>
      </x:c>
      <x:c r="E16" s="12" t="n">
        <x:f>D16*'Ayarlar'!B17</x:f>
        <x:v>0.03</x:v>
      </x:c>
      <x:c r="F16" s="12" t="n">
        <x:f>D16*'Ayarlar'!C17</x:f>
        <x:v>0.015</x:v>
      </x:c>
      <x:c r="G16" s="10" t="str">
        <x:v>Tüm platform gerekir</x:v>
      </x:c>
      <x:c r="H16" s="10" t="str">
        <x:v>Çok sistem gerekir</x:v>
      </x:c>
      <x:c r="I16" s="10" t="str">
        <x:v>Yeni dar backend gerekir</x:v>
      </x:c>
      <x:c r="J16" s="10" t="str">
        <x:v>Manuel pilot ayrılabilir</x:v>
      </x:c>
      <x:c r="K16" s="10" t="str">
        <x:v>Mevcut motor dar çıktıyı verir</x:v>
      </x:c>
      <x:c r="L16" s="10" t="str">
        <x:v>Dış pilot aynı dilimi tamamladı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62" customHeight="1">
      <x:c r="A17" s="10" t="str">
        <x:v>R1</x:v>
      </x:c>
      <x:c r="B17" s="10" t="str">
        <x:v>R</x:v>
      </x:c>
      <x:c r="C17" s="10" t="str">
        <x:v>Aynı alıcının tekrar işi</x:v>
      </x:c>
      <x:c r="D17" s="11" t="n">
        <x:v>0.6</x:v>
      </x:c>
      <x:c r="E17" s="12" t="n">
        <x:f>D17*'Ayarlar'!B18</x:f>
        <x:v>0.06</x:v>
      </x:c>
      <x:c r="F17" s="12" t="n">
        <x:f>D17*'Ayarlar'!C18</x:f>
        <x:v>0.06</x:v>
      </x:c>
      <x:c r="G17" s="10" t="str">
        <x:v>Tekrar yok</x:v>
      </x:c>
      <x:c r="H17" s="10" t="str">
        <x:v>Seyrek olasılık</x:v>
      </x:c>
      <x:c r="I17" s="10" t="str">
        <x:v>Yeni proje tekrarı</x:v>
      </x:c>
      <x:c r="J17" s="10" t="str">
        <x:v>Dönemsel iş belli</x:v>
      </x:c>
      <x:c r="K17" s="10" t="str">
        <x:v>İkinci dönem kabulü</x:v>
      </x:c>
      <x:c r="L17" s="10" t="str">
        <x:v>İkinci dönem ödeme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62" customHeight="1">
      <x:c r="A18" s="10" t="str">
        <x:v>R2</x:v>
      </x:c>
      <x:c r="B18" s="10" t="str">
        <x:v>R</x:v>
      </x:c>
      <x:c r="C18" s="10" t="str">
        <x:v>Biriken kullanışlı iş izi</x:v>
      </x:c>
      <x:c r="D18" s="11" t="n">
        <x:v>0.4</x:v>
      </x:c>
      <x:c r="E18" s="12" t="n">
        <x:f>D18*'Ayarlar'!B18</x:f>
        <x:v>0.04000000000000001</x:v>
      </x:c>
      <x:c r="F18" s="12" t="n">
        <x:f>D18*'Ayarlar'!C18</x:f>
        <x:v>0.04000000000000001</x:v>
      </x:c>
      <x:c r="G18" s="10" t="str">
        <x:v>Kayıt değeri yok</x:v>
      </x:c>
      <x:c r="H18" s="10" t="str">
        <x:v>Görsel tercih</x:v>
      </x:c>
      <x:c r="I18" s="10" t="str">
        <x:v>Şablon tekrar kullanılır</x:v>
      </x:c>
      <x:c r="J18" s="10" t="str">
        <x:v>Kaynak/version/karar izi işe yarar</x:v>
      </x:c>
      <x:c r="K18" s="10" t="str">
        <x:v>İz geçmişi dış kullanıcı kullanıyor</x:v>
      </x:c>
      <x:c r="L18" s="10" t="str">
        <x:v>İz sayesinde tekrarlı satın alma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62" customHeight="1">
      <x:c r="A19" s="10" t="str">
        <x:v>O1</x:v>
      </x:c>
      <x:c r="B19" s="10" t="str">
        <x:v>O</x:v>
      </x:c>
      <x:c r="C19" s="10" t="str">
        <x:v>İstisnaların standartlaştırılması</x:v>
      </x:c>
      <x:c r="D19" s="11" t="n">
        <x:v>0.6</x:v>
      </x:c>
      <x:c r="E19" s="12" t="n">
        <x:f>D19*'Ayarlar'!B19</x:f>
        <x:v>0.03</x:v>
      </x:c>
      <x:c r="F19" s="12" t="n">
        <x:f>D19*'Ayarlar'!C19</x:f>
        <x:v>0.03</x:v>
      </x:c>
      <x:c r="G19" s="10" t="str">
        <x:v>Her iş özel</x:v>
      </x:c>
      <x:c r="H19" s="10" t="str">
        <x:v>Uzman yoğun</x:v>
      </x:c>
      <x:c r="I19" s="10" t="str">
        <x:v>Tek format sınırı</x:v>
      </x:c>
      <x:c r="J19" s="10" t="str">
        <x:v>Tekrarlı şablon kontrolü</x:v>
      </x:c>
      <x:c r="K19" s="10" t="str">
        <x:v>İstisna/support ölçülmüş</x:v>
      </x:c>
      <x:c r="L19" s="10" t="str">
        <x:v>Düşük destek tekrarlı ölçülmüş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62" customHeight="1">
      <x:c r="A20" s="10" t="str">
        <x:v>O2</x:v>
      </x:c>
      <x:c r="B20" s="10" t="str">
        <x:v>O</x:v>
      </x:c>
      <x:c r="C20" s="10" t="str">
        <x:v>Dış bağımlılığı kontrol etme</x:v>
      </x:c>
      <x:c r="D20" s="11" t="n">
        <x:v>0.4</x:v>
      </x:c>
      <x:c r="E20" s="12" t="n">
        <x:f>D20*'Ayarlar'!B19</x:f>
        <x:v>0.020000000000000004</x:v>
      </x:c>
      <x:c r="F20" s="12" t="n">
        <x:f>D20*'Ayarlar'!C19</x:f>
        <x:v>0.020000000000000004</x:v>
      </x:c>
      <x:c r="G20" s="10" t="str">
        <x:v>İzin dışı dış sistem</x:v>
      </x:c>
      <x:c r="H20" s="10" t="str">
        <x:v>Belirsiz kritik API</x:v>
      </x:c>
      <x:c r="I20" s="10" t="str">
        <x:v>Vendor erişimi gerekir</x:v>
      </x:c>
      <x:c r="J20" s="10" t="str">
        <x:v>Yetkili dosya/local işlem</x:v>
      </x:c>
      <x:c r="K20" s="10" t="str">
        <x:v>Tekrarlı erişim/restore kanıtı</x:v>
      </x:c>
      <x:c r="L20" s="10" t="str">
        <x:v>Kontrollü çok ortam teslimi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24" customHeight="1">
      <x:c r="A23" s="2" t="str">
        <x:v>Toplam etki</x:v>
      </x:c>
      <x:c r="B23" s="2"/>
      <x:c r="C23" s="2"/>
      <x:c r="D23" s="2"/>
      <x:c r="E23" s="2" t="n">
        <x:f>SUM(E5:E20)</x:f>
        <x:v>1.0000000000000002</x:v>
      </x:c>
      <x:c r="F23" s="2" t="n">
        <x:f>SUM(F5:F20)</x:f>
        <x:v>1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 t="str">
        <x:v>Kategori içi kontrol</x:v>
      </x:c>
      <x:c r="B26" s="2" t="str">
        <x:v>Toplam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 t="str">
        <x:v>Satın alma gerekçesi</x:v>
      </x:c>
      <x:c r="B27" s="2" t="n">
        <x:f>SUMIFS(D5:D20,B5:B20,"D")</x:f>
        <x:v>1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 t="str">
        <x:v>Reklamsız erişim</x:v>
      </x:c>
      <x:c r="B28" s="2" t="n">
        <x:f>SUMIFS(D5:D20,B5:B20,"C")</x:f>
        <x:v>1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 t="str">
        <x:v>İlk kullanım ve satın alma</x:v>
      </x:c>
      <x:c r="B29" s="2" t="n">
        <x:f>SUMIFS(D5:D20,B5:B20,"A")</x:f>
        <x:v>1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 t="str">
        <x:v>Mevcut varlığa uyum</x:v>
      </x:c>
      <x:c r="B30" s="2" t="n">
        <x:f>SUMIFS(D5:D20,B5:B20,"F")</x:f>
        <x:v>1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 t="str">
        <x:v>Tekrar gelir işi</x:v>
      </x:c>
      <x:c r="B31" s="2" t="n">
        <x:f>SUMIFS(D5:D20,B5:B20,"R")</x:f>
        <x:v>1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 t="str">
        <x:v>Operasyon</x:v>
      </x:c>
      <x:c r="B32" s="2" t="n">
        <x:f>SUMIFS(D5:D20,B5:B20,"O")</x:f>
        <x:v>1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AA8B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65" hidden="0" customWidth="1"/>
    <x:col min="4" max="4" width="6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Yeni proje için 100 diagnostic soru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5" t="str">
        <x:v>No</x:v>
      </x:c>
      <x:c r="B4" s="5" t="str">
        <x:v>Alan</x:v>
      </x:c>
      <x:c r="C4" s="5" t="str">
        <x:v>Soru</x:v>
      </x:c>
      <x:c r="D4" s="5" t="str">
        <x:v>Yanıt / test notu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24" customHeight="1">
      <x:c r="A5" s="2" t="n">
        <x:v>1</x:v>
      </x:c>
      <x:c r="B5" s="2" t="str">
        <x:v>Müşteri işi</x:v>
      </x:c>
      <x:c r="C5" s="2" t="str">
        <x:v>Ekonomik alıcı kim?</x:v>
      </x:c>
      <x:c r="D5" s="6" t="str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24" customHeight="1">
      <x:c r="A6" s="2" t="n">
        <x:v>2</x:v>
      </x:c>
      <x:c r="B6" s="2" t="str">
        <x:v>Müşteri işi</x:v>
      </x:c>
      <x:c r="C6" s="2" t="str">
        <x:v>Günlük kullanıcı kim?</x:v>
      </x:c>
      <x:c r="D6" s="6" t="str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24" customHeight="1">
      <x:c r="A7" s="2" t="n">
        <x:v>3</x:v>
      </x:c>
      <x:c r="B7" s="2" t="str">
        <x:v>Müşteri işi</x:v>
      </x:c>
      <x:c r="C7" s="2" t="str">
        <x:v>Onaylayan rol kim?</x:v>
      </x:c>
      <x:c r="D7" s="6" t="str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24" customHeight="1">
      <x:c r="A8" s="2" t="n">
        <x:v>4</x:v>
      </x:c>
      <x:c r="B8" s="2" t="str">
        <x:v>Müşteri işi</x:v>
      </x:c>
      <x:c r="C8" s="2" t="str">
        <x:v>İşin sıklığı nedir?</x:v>
      </x:c>
      <x:c r="D8" s="6" t="str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24" customHeight="1">
      <x:c r="A9" s="2" t="n">
        <x:v>5</x:v>
      </x:c>
      <x:c r="B9" s="2" t="str">
        <x:v>Müşteri işi</x:v>
      </x:c>
      <x:c r="C9" s="2" t="str">
        <x:v>Satın alma tetikleyicisi nedir?</x:v>
      </x:c>
      <x:c r="D9" s="6" t="str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24" customHeight="1">
      <x:c r="A10" s="2" t="n">
        <x:v>6</x:v>
      </x:c>
      <x:c r="B10" s="2" t="str">
        <x:v>Müşteri işi</x:v>
      </x:c>
      <x:c r="C10" s="2" t="str">
        <x:v>Bugünkü alternatif nedir?</x:v>
      </x:c>
      <x:c r="D10" s="6" t="str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24" customHeight="1">
      <x:c r="A11" s="2" t="n">
        <x:v>7</x:v>
      </x:c>
      <x:c r="B11" s="2" t="str">
        <x:v>Müşteri işi</x:v>
      </x:c>
      <x:c r="C11" s="2" t="str">
        <x:v>Hiçbir şey yapmama maliyeti nasıl ölçülür?</x:v>
      </x:c>
      <x:c r="D11" s="6" t="str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24" customHeight="1">
      <x:c r="A12" s="2" t="n">
        <x:v>8</x:v>
      </x:c>
      <x:c r="B12" s="2" t="str">
        <x:v>Müşteri işi</x:v>
      </x:c>
      <x:c r="C12" s="2" t="str">
        <x:v>Kendi verisinde ilk değer nedir?</x:v>
      </x:c>
      <x:c r="D12" s="6" t="str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24" customHeight="1">
      <x:c r="A13" s="2" t="n">
        <x:v>9</x:v>
      </x:c>
      <x:c r="B13" s="2" t="str">
        <x:v>Müşteri işi</x:v>
      </x:c>
      <x:c r="C13" s="2" t="str">
        <x:v>Özgün çıktı hangi kararı değiştirir?</x:v>
      </x:c>
      <x:c r="D13" s="6" t="str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24" customHeight="1">
      <x:c r="A14" s="2" t="n">
        <x:v>10</x:v>
      </x:c>
      <x:c r="B14" s="2" t="str">
        <x:v>Müşteri işi</x:v>
      </x:c>
      <x:c r="C14" s="2" t="str">
        <x:v>İkinci kullanım neden oluşur?</x:v>
      </x:c>
      <x:c r="D14" s="6" t="str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24" customHeight="1">
      <x:c r="A15" s="2" t="n">
        <x:v>11</x:v>
      </x:c>
      <x:c r="B15" s="2" t="str">
        <x:v>Kanal</x:v>
      </x:c>
      <x:c r="C15" s="2" t="str">
        <x:v>Hedef rol hangi yüzeyde toplanır?</x:v>
      </x:c>
      <x:c r="D15" s="6" t="str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24" customHeight="1">
      <x:c r="A16" s="2" t="n">
        <x:v>12</x:v>
      </x:c>
      <x:c r="B16" s="2" t="str">
        <x:v>Kanal</x:v>
      </x:c>
      <x:c r="C16" s="2" t="str">
        <x:v>Arama niyeti hangi işi belirtir?</x:v>
      </x:c>
      <x:c r="D16" s="6" t="str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24" customHeight="1">
      <x:c r="A17" s="2" t="n">
        <x:v>13</x:v>
      </x:c>
      <x:c r="B17" s="2" t="str">
        <x:v>Kanal</x:v>
      </x:c>
      <x:c r="C17" s="2" t="str">
        <x:v>Yüzeye erişim izni var mı?</x:v>
      </x:c>
      <x:c r="D17" s="6" t="str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24" customHeight="1">
      <x:c r="A18" s="2" t="n">
        <x:v>14</x:v>
      </x:c>
      <x:c r="B18" s="2" t="str">
        <x:v>Kanal</x:v>
      </x:c>
      <x:c r="C18" s="2" t="str">
        <x:v>Mevcut kitle mi varsayım mı?</x:v>
      </x:c>
      <x:c r="D18" s="6" t="str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24" customHeight="1">
      <x:c r="A19" s="2" t="n">
        <x:v>15</x:v>
      </x:c>
      <x:c r="B19" s="2" t="str">
        <x:v>Kanal</x:v>
      </x:c>
      <x:c r="C19" s="2" t="str">
        <x:v>İlk örnek hangi niyete cevap verir?</x:v>
      </x:c>
      <x:c r="D19" s="6" t="str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24" customHeight="1">
      <x:c r="A20" s="2" t="n">
        <x:v>16</x:v>
      </x:c>
      <x:c r="B20" s="2" t="str">
        <x:v>Kanal</x:v>
      </x:c>
      <x:c r="C20" s="2" t="str">
        <x:v>Recipient aynı alıcı rolünde mi?</x:v>
      </x:c>
      <x:c r="D20" s="6" t="str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24" customHeight="1">
      <x:c r="A21" s="2" t="n">
        <x:v>17</x:v>
      </x:c>
      <x:c r="B21" s="2" t="str">
        <x:v>Kanal</x:v>
      </x:c>
      <x:c r="C21" s="2" t="str">
        <x:v>Referralde onay ve mahremiyet korunur mu?</x:v>
      </x:c>
      <x:c r="D21" s="6" t="str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 t="n">
        <x:v>18</x:v>
      </x:c>
      <x:c r="B22" s="2" t="str">
        <x:v>Kanal</x:v>
      </x:c>
      <x:c r="C22" s="2" t="str">
        <x:v>Partnerin teşviki nedir?</x:v>
      </x:c>
      <x:c r="D22" s="6" t="str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24" customHeight="1">
      <x:c r="A23" s="2" t="n">
        <x:v>19</x:v>
      </x:c>
      <x:c r="B23" s="2" t="str">
        <x:v>Kanal</x:v>
      </x:c>
      <x:c r="C23" s="2" t="str">
        <x:v>Partneri ilk kazanma emeği nedir?</x:v>
      </x:c>
      <x:c r="D23" s="6" t="str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24" customHeight="1">
      <x:c r="A24" s="2" t="n">
        <x:v>20</x:v>
      </x:c>
      <x:c r="B24" s="2" t="str">
        <x:v>Kanal</x:v>
      </x:c>
      <x:c r="C24" s="2" t="str">
        <x:v>Platform görünürlüğü neye bağımlı?</x:v>
      </x:c>
      <x:c r="D24" s="6" t="str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24" customHeight="1">
      <x:c r="A25" s="2" t="n">
        <x:v>21</x:v>
      </x:c>
      <x:c r="B25" s="2" t="str">
        <x:v>Teklif</x:v>
      </x:c>
      <x:c r="C25" s="2" t="str">
        <x:v>Tek paid job nedir?</x:v>
      </x:c>
      <x:c r="D25" s="6" t="str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 t="n">
        <x:v>22</x:v>
      </x:c>
      <x:c r="B26" s="2" t="str">
        <x:v>Teklif</x:v>
      </x:c>
      <x:c r="C26" s="2" t="str">
        <x:v>Ücretsiz bölümün gerçek faydası nedir?</x:v>
      </x:c>
      <x:c r="D26" s="6" t="str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 t="n">
        <x:v>23</x:v>
      </x:c>
      <x:c r="B27" s="2" t="str">
        <x:v>Teklif</x:v>
      </x:c>
      <x:c r="C27" s="2" t="str">
        <x:v>Free alternatifle fark nasıl ölçülür?</x:v>
      </x:c>
      <x:c r="D27" s="6" t="str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 t="n">
        <x:v>24</x:v>
      </x:c>
      <x:c r="B28" s="2" t="str">
        <x:v>Teklif</x:v>
      </x:c>
      <x:c r="C28" s="2" t="str">
        <x:v>Paketin hariç işleri neler?</x:v>
      </x:c>
      <x:c r="D28" s="6" t="str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 t="n">
        <x:v>25</x:v>
      </x:c>
      <x:c r="B29" s="2" t="str">
        <x:v>Teklif</x:v>
      </x:c>
      <x:c r="C29" s="2" t="str">
        <x:v>Tek seferlik mi dönemsel mi?</x:v>
      </x:c>
      <x:c r="D29" s="6" t="str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 t="n">
        <x:v>26</x:v>
      </x:c>
      <x:c r="B30" s="2" t="str">
        <x:v>Teklif</x:v>
      </x:c>
      <x:c r="C30" s="2" t="str">
        <x:v>Ücret hangi birime bağlı?</x:v>
      </x:c>
      <x:c r="D30" s="6" t="str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 t="n">
        <x:v>27</x:v>
      </x:c>
      <x:c r="B31" s="2" t="str">
        <x:v>Teklif</x:v>
      </x:c>
      <x:c r="C31" s="2" t="str">
        <x:v>Tahsilat vadesi nedir?</x:v>
      </x:c>
      <x:c r="D31" s="6" t="str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 t="n">
        <x:v>28</x:v>
      </x:c>
      <x:c r="B32" s="2" t="str">
        <x:v>Teklif</x:v>
      </x:c>
      <x:c r="C32" s="2" t="str">
        <x:v>İade şartı nedir?</x:v>
      </x:c>
      <x:c r="D32" s="6" t="str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 t="n">
        <x:v>29</x:v>
      </x:c>
      <x:c r="B33" s="2" t="str">
        <x:v>Teklif</x:v>
      </x:c>
      <x:c r="C33" s="2" t="str">
        <x:v>Upgrade hangi completed joba bağlı?</x:v>
      </x:c>
      <x:c r="D33" s="6" t="str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 t="n">
        <x:v>30</x:v>
      </x:c>
      <x:c r="B34" s="2" t="str">
        <x:v>Teklif</x:v>
      </x:c>
      <x:c r="C34" s="2" t="str">
        <x:v>Alıcıya vaat edilen kanıt nedir?</x:v>
      </x:c>
      <x:c r="D34" s="6" t="str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 t="n">
        <x:v>31</x:v>
      </x:c>
      <x:c r="B35" s="2" t="str">
        <x:v>İlk kullanım</x:v>
      </x:c>
      <x:c r="C35" s="2" t="str">
        <x:v>İlk input şeması nedir?</x:v>
      </x:c>
      <x:c r="D35" s="6" t="str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 t="n">
        <x:v>32</x:v>
      </x:c>
      <x:c r="B36" s="2" t="str">
        <x:v>İlk kullanım</x:v>
      </x:c>
      <x:c r="C36" s="2" t="str">
        <x:v>Import sessiz row kaybediyor mu?</x:v>
      </x:c>
      <x:c r="D36" s="6" t="str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 t="n">
        <x:v>33</x:v>
      </x:c>
      <x:c r="B37" s="2" t="str">
        <x:v>İlk kullanım</x:v>
      </x:c>
      <x:c r="C37" s="2" t="str">
        <x:v>Eksik input nasıl görünür?</x:v>
      </x:c>
      <x:c r="D37" s="6" t="str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 t="n">
        <x:v>34</x:v>
      </x:c>
      <x:c r="B38" s="2" t="str">
        <x:v>İlk kullanım</x:v>
      </x:c>
      <x:c r="C38" s="2" t="str">
        <x:v>Manuel düzeltme aracı nedir?</x:v>
      </x:c>
      <x:c r="D38" s="6" t="str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 t="n">
        <x:v>35</x:v>
      </x:c>
      <x:c r="B39" s="2" t="str">
        <x:v>İlk kullanım</x:v>
      </x:c>
      <x:c r="C39" s="2" t="str">
        <x:v>Compare hangi ortak birimi kullanır?</x:v>
      </x:c>
      <x:c r="D39" s="6" t="str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 t="n">
        <x:v>36</x:v>
      </x:c>
      <x:c r="B40" s="2" t="str">
        <x:v>İlk kullanım</x:v>
      </x:c>
      <x:c r="C40" s="2" t="str">
        <x:v>Export hangi veri ve sürümü taşır?</x:v>
      </x:c>
      <x:c r="D40" s="6" t="str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 t="n">
        <x:v>37</x:v>
      </x:c>
      <x:c r="B41" s="2" t="str">
        <x:v>İlk kullanım</x:v>
      </x:c>
      <x:c r="C41" s="2" t="str">
        <x:v>Share yetkisi nasıl sınırlanır?</x:v>
      </x:c>
      <x:c r="D41" s="6" t="str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 t="n">
        <x:v>38</x:v>
      </x:c>
      <x:c r="B42" s="2" t="str">
        <x:v>İlk kullanım</x:v>
      </x:c>
      <x:c r="C42" s="2" t="str">
        <x:v>Kabul/reddetme nasıl kaydedilir?</x:v>
      </x:c>
      <x:c r="D42" s="6" t="str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 t="n">
        <x:v>39</x:v>
      </x:c>
      <x:c r="B43" s="2" t="str">
        <x:v>İlk kullanım</x:v>
      </x:c>
      <x:c r="C43" s="2" t="str">
        <x:v>Onboarding hangi tek route ile biter?</x:v>
      </x:c>
      <x:c r="D43" s="6" t="str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 t="n">
        <x:v>40</x:v>
      </x:c>
      <x:c r="B44" s="2" t="str">
        <x:v>İlk kullanım</x:v>
      </x:c>
      <x:c r="C44" s="2" t="str">
        <x:v>İkinci dönem aynı şablon çalışır mı?</x:v>
      </x:c>
      <x:c r="D44" s="6" t="str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 t="n">
        <x:v>41</x:v>
      </x:c>
      <x:c r="B45" s="2" t="str">
        <x:v>Hak ve veri</x:v>
      </x:c>
      <x:c r="C45" s="2" t="str">
        <x:v>Kaynak kod kullanım hakkı nedir?</x:v>
      </x:c>
      <x:c r="D45" s="6" t="str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 t="n">
        <x:v>42</x:v>
      </x:c>
      <x:c r="B46" s="2" t="str">
        <x:v>Hak ve veri</x:v>
      </x:c>
      <x:c r="C46" s="2" t="str">
        <x:v>Lisans kararı kimde?</x:v>
      </x:c>
      <x:c r="D46" s="6" t="str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 t="n">
        <x:v>43</x:v>
      </x:c>
      <x:c r="B47" s="2" t="str">
        <x:v>Hak ve veri</x:v>
      </x:c>
      <x:c r="C47" s="2" t="str">
        <x:v>Üçüncü taraf medya hakkı var mı?</x:v>
      </x:c>
      <x:c r="D47" s="6" t="str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 t="n">
        <x:v>44</x:v>
      </x:c>
      <x:c r="B48" s="2" t="str">
        <x:v>Hak ve veri</x:v>
      </x:c>
      <x:c r="C48" s="2" t="str">
        <x:v>Kişisel veri gerekli mi?</x:v>
      </x:c>
      <x:c r="D48" s="6" t="str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 t="n">
        <x:v>45</x:v>
      </x:c>
      <x:c r="B49" s="2" t="str">
        <x:v>Hak ve veri</x:v>
      </x:c>
      <x:c r="C49" s="2" t="str">
        <x:v>Sentetik fixture yeterli mi?</x:v>
      </x:c>
      <x:c r="D49" s="6" t="str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 t="n">
        <x:v>46</x:v>
      </x:c>
      <x:c r="B50" s="2" t="str">
        <x:v>Hak ve veri</x:v>
      </x:c>
      <x:c r="C50" s="2" t="str">
        <x:v>Veri kaynağının erişim şartı nedir?</x:v>
      </x:c>
      <x:c r="D50" s="6" t="str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 t="n">
        <x:v>47</x:v>
      </x:c>
      <x:c r="B51" s="2" t="str">
        <x:v>Hak ve veri</x:v>
      </x:c>
      <x:c r="C51" s="2" t="str">
        <x:v>Tenant sınırı nerede?</x:v>
      </x:c>
      <x:c r="D51" s="6" t="str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 t="n">
        <x:v>48</x:v>
      </x:c>
      <x:c r="B52" s="2" t="str">
        <x:v>Hak ve veri</x:v>
      </x:c>
      <x:c r="C52" s="2" t="str">
        <x:v>Revoke/delete nasıl doğrulanır?</x:v>
      </x:c>
      <x:c r="D52" s="6" t="str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 t="n">
        <x:v>49</x:v>
      </x:c>
      <x:c r="B53" s="2" t="str">
        <x:v>Hak ve veri</x:v>
      </x:c>
      <x:c r="C53" s="2" t="str">
        <x:v>Dış AI aktarımı opt-in mi?</x:v>
      </x:c>
      <x:c r="D53" s="6" t="str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 t="n">
        <x:v>50</x:v>
      </x:c>
      <x:c r="B54" s="2" t="str">
        <x:v>Hak ve veri</x:v>
      </x:c>
      <x:c r="C54" s="2" t="str">
        <x:v>Kaynak/tarih/version nasıl korunur?</x:v>
      </x:c>
      <x:c r="D54" s="6" t="str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 t="n">
        <x:v>51</x:v>
      </x:c>
      <x:c r="B55" s="2" t="str">
        <x:v>Doğruluk</x:v>
      </x:c>
      <x:c r="C55" s="2" t="str">
        <x:v>Para hesapları deterministik mi?</x:v>
      </x:c>
      <x:c r="D55" s="6" t="str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 t="n">
        <x:v>52</x:v>
      </x:c>
      <x:c r="B56" s="2" t="str">
        <x:v>Doğruluk</x:v>
      </x:c>
      <x:c r="C56" s="2" t="str">
        <x:v>Kritik fixture beklenen sonucu ne?</x:v>
      </x:c>
      <x:c r="D56" s="6" t="str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 t="n">
        <x:v>53</x:v>
      </x:c>
      <x:c r="B57" s="2" t="str">
        <x:v>Doğruluk</x:v>
      </x:c>
      <x:c r="C57" s="2" t="str">
        <x:v>Unknown kesin sonuca dönüşüyor mu?</x:v>
      </x:c>
      <x:c r="D57" s="6" t="str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 t="n">
        <x:v>54</x:v>
      </x:c>
      <x:c r="B58" s="2" t="str">
        <x:v>Doğruluk</x:v>
      </x:c>
      <x:c r="C58" s="2" t="str">
        <x:v>AI hangi kararı veremez?</x:v>
      </x:c>
      <x:c r="D58" s="6" t="str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 t="n">
        <x:v>55</x:v>
      </x:c>
      <x:c r="B59" s="2" t="str">
        <x:v>Doğruluk</x:v>
      </x:c>
      <x:c r="C59" s="2" t="str">
        <x:v>Uzman publish kapısı var mı?</x:v>
      </x:c>
      <x:c r="D59" s="6" t="str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 t="n">
        <x:v>56</x:v>
      </x:c>
      <x:c r="B60" s="2" t="str">
        <x:v>Doğruluk</x:v>
      </x:c>
      <x:c r="C60" s="2" t="str">
        <x:v>Tekrarlı import idempotent mi?</x:v>
      </x:c>
      <x:c r="D60" s="6" t="str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 t="n">
        <x:v>57</x:v>
      </x:c>
      <x:c r="B61" s="2" t="str">
        <x:v>Doğruluk</x:v>
      </x:c>
      <x:c r="C61" s="2" t="str">
        <x:v>Ödeme webhook tekrarında ne olur?</x:v>
      </x:c>
      <x:c r="D61" s="6" t="str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 t="n">
        <x:v>58</x:v>
      </x:c>
      <x:c r="B62" s="2" t="str">
        <x:v>Doğruluk</x:v>
      </x:c>
      <x:c r="C62" s="2" t="str">
        <x:v>Writeback conflict nasıl görünür?</x:v>
      </x:c>
      <x:c r="D62" s="6" t="str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 t="n">
        <x:v>59</x:v>
      </x:c>
      <x:c r="B63" s="2" t="str">
        <x:v>Doğruluk</x:v>
      </x:c>
      <x:c r="C63" s="2" t="str">
        <x:v>Rapor gerçekleşen ile senaryoyu ayırır mı?</x:v>
      </x:c>
      <x:c r="D63" s="6" t="str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 t="n">
        <x:v>60</x:v>
      </x:c>
      <x:c r="B64" s="2" t="str">
        <x:v>Doğruluk</x:v>
      </x:c>
      <x:c r="C64" s="2" t="str">
        <x:v>Restore eski sonucu korur mu?</x:v>
      </x:c>
      <x:c r="D64" s="6" t="str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 t="n">
        <x:v>61</x:v>
      </x:c>
      <x:c r="B65" s="2" t="str">
        <x:v>Emek</x:v>
      </x:c>
      <x:c r="C65" s="2" t="str">
        <x:v>İlk kurulum kaç saat?</x:v>
      </x:c>
      <x:c r="D65" s="6" t="str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 t="n">
        <x:v>62</x:v>
      </x:c>
      <x:c r="B66" s="2" t="str">
        <x:v>Emek</x:v>
      </x:c>
      <x:c r="C66" s="2" t="str">
        <x:v>Yeni müşteri başına satış emeği?</x:v>
      </x:c>
      <x:c r="D66" s="6" t="str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 t="n">
        <x:v>63</x:v>
      </x:c>
      <x:c r="B67" s="2" t="str">
        <x:v>Emek</x:v>
      </x:c>
      <x:c r="C67" s="2" t="str">
        <x:v>Teslim başına insan saati?</x:v>
      </x:c>
      <x:c r="D67" s="6" t="str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 t="n">
        <x:v>64</x:v>
      </x:c>
      <x:c r="B68" s="2" t="str">
        <x:v>Emek</x:v>
      </x:c>
      <x:c r="C68" s="2" t="str">
        <x:v>Aylık support saati?</x:v>
      </x:c>
      <x:c r="D68" s="6" t="str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 t="n">
        <x:v>65</x:v>
      </x:c>
      <x:c r="B69" s="2" t="str">
        <x:v>Emek</x:v>
      </x:c>
      <x:c r="C69" s="2" t="str">
        <x:v>Kanalın haftalık bakım saati?</x:v>
      </x:c>
      <x:c r="D69" s="6" t="str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 t="n">
        <x:v>66</x:v>
      </x:c>
      <x:c r="B70" s="2" t="str">
        <x:v>Emek</x:v>
      </x:c>
      <x:c r="C70" s="2" t="str">
        <x:v>Custom format başına ek süre?</x:v>
      </x:c>
      <x:c r="D70" s="6" t="str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 t="n">
        <x:v>67</x:v>
      </x:c>
      <x:c r="B71" s="2" t="str">
        <x:v>Emek</x:v>
      </x:c>
      <x:c r="C71" s="2" t="str">
        <x:v>Uzman review bedeli?</x:v>
      </x:c>
      <x:c r="D71" s="6" t="str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 t="n">
        <x:v>68</x:v>
      </x:c>
      <x:c r="B72" s="2" t="str">
        <x:v>Emek</x:v>
      </x:c>
      <x:c r="C72" s="2" t="str">
        <x:v>İki iş paralel kapasiteye sığar mı?</x:v>
      </x:c>
      <x:c r="D72" s="6" t="str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 t="n">
        <x:v>69</x:v>
      </x:c>
      <x:c r="B73" s="2" t="str">
        <x:v>Emek</x:v>
      </x:c>
      <x:c r="C73" s="2" t="str">
        <x:v>Haftalık üst sınır aşılıyor mu?</x:v>
      </x:c>
      <x:c r="D73" s="6" t="str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 t="n">
        <x:v>70</x:v>
      </x:c>
      <x:c r="B74" s="2" t="str">
        <x:v>Emek</x:v>
      </x:c>
      <x:c r="C74" s="2" t="str">
        <x:v>Saat fırsat maliyeti ayrıca görünür mü?</x:v>
      </x:c>
      <x:c r="D74" s="6" t="str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 t="n">
        <x:v>71</x:v>
      </x:c>
      <x:c r="B75" s="2" t="str">
        <x:v>Nakit</x:v>
      </x:c>
      <x:c r="C75" s="2" t="str">
        <x:v>Tek satış net katkısı nedir?</x:v>
      </x:c>
      <x:c r="D75" s="6" t="str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 t="n">
        <x:v>72</x:v>
      </x:c>
      <x:c r="B76" s="2" t="str">
        <x:v>Nakit</x:v>
      </x:c>
      <x:c r="C76" s="2" t="str">
        <x:v>Değişken nakit gideri nedir?</x:v>
      </x:c>
      <x:c r="D76" s="6" t="str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 t="n">
        <x:v>73</x:v>
      </x:c>
      <x:c r="B77" s="2" t="str">
        <x:v>Nakit</x:v>
      </x:c>
      <x:c r="C77" s="2" t="str">
        <x:v>Tahsilat ücreti hangi matrahta?</x:v>
      </x:c>
      <x:c r="D77" s="6" t="str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 t="n">
        <x:v>74</x:v>
      </x:c>
      <x:c r="B78" s="2" t="str">
        <x:v>Nakit</x:v>
      </x:c>
      <x:c r="C78" s="2" t="str">
        <x:v>İade payı hangi dönemde?</x:v>
      </x:c>
      <x:c r="D78" s="6" t="str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 t="n">
        <x:v>75</x:v>
      </x:c>
      <x:c r="B79" s="2" t="str">
        <x:v>Nakit</x:v>
      </x:c>
      <x:c r="C79" s="2" t="str">
        <x:v>Başlangıç nakdi ne?</x:v>
      </x:c>
      <x:c r="D79" s="6" t="str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 t="n">
        <x:v>76</x:v>
      </x:c>
      <x:c r="B80" s="2" t="str">
        <x:v>Nakit</x:v>
      </x:c>
      <x:c r="C80" s="2" t="str">
        <x:v>Aylık sabit nakit ne?</x:v>
      </x:c>
      <x:c r="D80" s="6" t="str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 t="n">
        <x:v>77</x:v>
      </x:c>
      <x:c r="B81" s="2" t="str">
        <x:v>Nakit</x:v>
      </x:c>
      <x:c r="C81" s="2" t="str">
        <x:v>Hedef için kaç satış gerekir?</x:v>
      </x:c>
      <x:c r="D81" s="6" t="str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 t="n">
        <x:v>78</x:v>
      </x:c>
      <x:c r="B82" s="2" t="str">
        <x:v>Nakit</x:v>
      </x:c>
      <x:c r="C82" s="2" t="str">
        <x:v>O satışlar kapasiteye sığar mı?</x:v>
      </x:c>
      <x:c r="D82" s="6" t="str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 t="n">
        <x:v>79</x:v>
      </x:c>
      <x:c r="B83" s="2" t="str">
        <x:v>Nakit</x:v>
      </x:c>
      <x:c r="C83" s="2" t="str">
        <x:v>Vergi model dışında mı ayrı input mu?</x:v>
      </x:c>
      <x:c r="D83" s="6" t="str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 t="n">
        <x:v>80</x:v>
      </x:c>
      <x:c r="B84" s="2" t="str">
        <x:v>Nakit</x:v>
      </x:c>
      <x:c r="C84" s="2" t="str">
        <x:v>Kur parametresi ve fiyat tarihi açık mı?</x:v>
      </x:c>
      <x:c r="D84" s="6" t="str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 t="n">
        <x:v>81</x:v>
      </x:c>
      <x:c r="B85" s="2" t="str">
        <x:v>Tekrar ve bağımlılık</x:v>
      </x:c>
      <x:c r="C85" s="2" t="str">
        <x:v>İkinci satın alma işi nedir?</x:v>
      </x:c>
      <x:c r="D85" s="6" t="str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 t="n">
        <x:v>82</x:v>
      </x:c>
      <x:c r="B86" s="2" t="str">
        <x:v>Tekrar ve bağımlılık</x:v>
      </x:c>
      <x:c r="C86" s="2" t="str">
        <x:v>Biriken geçmiş gerçekten kullanılıyor mu?</x:v>
      </x:c>
      <x:c r="D86" s="6" t="str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 t="n">
        <x:v>83</x:v>
      </x:c>
      <x:c r="B87" s="2" t="str">
        <x:v>Tekrar ve bağımlılık</x:v>
      </x:c>
      <x:c r="C87" s="2" t="str">
        <x:v>Support her yeni clientta artıyor mu?</x:v>
      </x:c>
      <x:c r="D87" s="6" t="str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 t="n">
        <x:v>84</x:v>
      </x:c>
      <x:c r="B88" s="2" t="str">
        <x:v>Tekrar ve bağımlılık</x:v>
      </x:c>
      <x:c r="C88" s="2" t="str">
        <x:v>Vendor API kapanırsa dosya yolu var mı?</x:v>
      </x:c>
      <x:c r="D88" s="6" t="str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 t="n">
        <x:v>85</x:v>
      </x:c>
      <x:c r="B89" s="2" t="str">
        <x:v>Tekrar ve bağımlılık</x:v>
      </x:c>
      <x:c r="C89" s="2" t="str">
        <x:v>Store policy değişirse rota var mı?</x:v>
      </x:c>
      <x:c r="D89" s="6" t="str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 t="n">
        <x:v>86</x:v>
      </x:c>
      <x:c r="B90" s="2" t="str">
        <x:v>Tekrar ve bağımlılık</x:v>
      </x:c>
      <x:c r="C90" s="2" t="str">
        <x:v>Platformun ücret birimi nedir?</x:v>
      </x:c>
      <x:c r="D90" s="6" t="str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 t="n">
        <x:v>87</x:v>
      </x:c>
      <x:c r="B91" s="2" t="str">
        <x:v>Tekrar ve bağımlılık</x:v>
      </x:c>
      <x:c r="C91" s="2" t="str">
        <x:v>Bakım sürüm uyumluluğu nasıl ölçülür?</x:v>
      </x:c>
      <x:c r="D91" s="6" t="str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 t="n">
        <x:v>88</x:v>
      </x:c>
      <x:c r="B92" s="2" t="str">
        <x:v>Tekrar ve bağımlılık</x:v>
      </x:c>
      <x:c r="C92" s="2" t="str">
        <x:v>OSS support gelirinin sınırı nedir?</x:v>
      </x:c>
      <x:c r="D92" s="6" t="str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 t="n">
        <x:v>89</x:v>
      </x:c>
      <x:c r="B93" s="2" t="str">
        <x:v>Tekrar ve bağımlılık</x:v>
      </x:c>
      <x:c r="C93" s="2" t="str">
        <x:v>Annual prepay yükümlülüğü ayrılmış mı?</x:v>
      </x:c>
      <x:c r="D93" s="6" t="str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 t="n">
        <x:v>90</x:v>
      </x:c>
      <x:c r="B94" s="2" t="str">
        <x:v>Tekrar ve bağımlılık</x:v>
      </x:c>
      <x:c r="C94" s="2" t="str">
        <x:v>Churn gerçek kohorttan mı varsayım mı?</x:v>
      </x:c>
      <x:c r="D94" s="6" t="str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 t="n">
        <x:v>91</x:v>
      </x:c>
      <x:c r="B95" s="2" t="str">
        <x:v>Karar</x:v>
      </x:c>
      <x:c r="C95" s="2" t="str">
        <x:v>Yüksek puan hangi kapıyı açamaz?</x:v>
      </x:c>
      <x:c r="D95" s="6" t="str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 t="n">
        <x:v>92</x:v>
      </x:c>
      <x:c r="B96" s="2" t="str">
        <x:v>Karar</x:v>
      </x:c>
      <x:c r="C96" s="2" t="str">
        <x:v>G1 hak/veri kontrolü tamam mı?</x:v>
      </x:c>
      <x:c r="D96" s="6" t="str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 t="n">
        <x:v>93</x:v>
      </x:c>
      <x:c r="B97" s="2" t="str">
        <x:v>Karar</x:v>
      </x:c>
      <x:c r="C97" s="2" t="str">
        <x:v>G2 tahsilat yolu test edildi mi?</x:v>
      </x:c>
      <x:c r="D97" s="6" t="str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 t="n">
        <x:v>94</x:v>
      </x:c>
      <x:c r="B98" s="2" t="str">
        <x:v>Karar</x:v>
      </x:c>
      <x:c r="C98" s="2" t="str">
        <x:v>G3 kanal gerçek role ulaşmış mı?</x:v>
      </x:c>
      <x:c r="D98" s="6" t="str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 t="n">
        <x:v>95</x:v>
      </x:c>
      <x:c r="B99" s="2" t="str">
        <x:v>Karar</x:v>
      </x:c>
      <x:c r="C99" s="2" t="str">
        <x:v>G4 paid pilot kabul edilmiş mi?</x:v>
      </x:c>
      <x:c r="D99" s="6" t="str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 t="n">
        <x:v>96</x:v>
      </x:c>
      <x:c r="B100" s="2" t="str">
        <x:v>Karar</x:v>
      </x:c>
      <x:c r="C100" s="2" t="str">
        <x:v>Hangi input değişirse sıra değişir?</x:v>
      </x:c>
      <x:c r="D100" s="6" t="str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 t="n">
        <x:v>97</x:v>
      </x:c>
      <x:c r="B101" s="2" t="str">
        <x:v>Karar</x:v>
      </x:c>
      <x:c r="C101" s="2" t="str">
        <x:v>Bir sonraki test artefactı nedir?</x:v>
      </x:c>
      <x:c r="D101" s="6" t="str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 t="n">
        <x:v>98</x:v>
      </x:c>
      <x:c r="B102" s="2" t="str">
        <x:v>Karar</x:v>
      </x:c>
      <x:c r="C102" s="2" t="str">
        <x:v>Test nakit ve saat üst sınırı nedir?</x:v>
      </x:c>
      <x:c r="D102" s="6" t="str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 t="n">
        <x:v>99</x:v>
      </x:c>
      <x:c r="B103" s="2" t="str">
        <x:v>Karar</x:v>
      </x:c>
      <x:c r="C103" s="2" t="str">
        <x:v>Fail olursa kapsam nereye daralır?</x:v>
      </x:c>
      <x:c r="D103" s="6" t="str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 t="n">
        <x:v>100</x:v>
      </x:c>
      <x:c r="B104" s="2" t="str">
        <x:v>Karar</x:v>
      </x:c>
      <x:c r="C104" s="2" t="str">
        <x:v>Alternatif rota hangi ölçümle açılır?</x:v>
      </x:c>
      <x:c r="D104" s="6" t="str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AA8B4"/>
  </x:sheetPr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Modelin tanımı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2" t="str">
        <x:v>Hedef</x:v>
      </x:c>
      <x:c r="B4" s="10" t="str">
        <x:v>Altı ayda 3000 USD kümülatif net operasyon nakdi. Vergi ve kurucu saat bedeli ayrıca.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38" customHeight="1">
      <x:c r="A5" s="2" t="str">
        <x:v>Seçenek</x:v>
      </x:c>
      <x:c r="B5" s="10" t="str">
        <x:v>Aile × ekonomik alıcı × paid job × birincil kanal. Aile başına tek başlangıç rotası.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38" customHeight="1">
      <x:c r="A6" s="2" t="str">
        <x:v>Puan</x:v>
      </x:c>
      <x:c r="B6" s="10" t="str">
        <x:v>16 kriter, 6 kategori. Kategori içi ağırlık × kategori ağırlığı; kategori bonusu yok.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38" customHeight="1">
      <x:c r="A7" s="2" t="str">
        <x:v>Kanıt</x:v>
      </x:c>
      <x:c r="B7" s="10" t="str">
        <x:v>Bütün 0–5 puanlar geçici uzman yorumudur; ödeme görüşmesi/traction kanıtı değildir.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38" customHeight="1">
      <x:c r="A8" s="2" t="str">
        <x:v>Kapı</x:v>
      </x:c>
      <x:c r="B8" s="10" t="str">
        <x:v>Hak/IP, veri, tahsilat, kanal, pilot. 0=engel,1=deney,2=kanıtlı geçiş. Unknown puanla örtülmez.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38" customHeight="1">
      <x:c r="A9" s="2" t="str">
        <x:v>Sıralama</x:v>
      </x:c>
      <x:c r="B9" s="10" t="str">
        <x:v>İlk nakit ve self-service deney sırası canlı formül. Yatırım sırası kapı/bütçe/hedef kapasite geçmeden n.a.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38" customHeight="1">
      <x:c r="A10" s="2" t="str">
        <x:v>Nakit</x:v>
      </x:c>
      <x:c r="B10" s="10" t="str">
        <x:v>Birim katkı=fiyat×(1-fee-refund)-değişken. Abonelikte etkin faturalı ay ile çarpılır.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38" customHeight="1">
      <x:c r="A11" s="2" t="str">
        <x:v>Hedef satış</x:v>
      </x:c>
      <x:c r="B11" s="10" t="str">
        <x:v>Tavan yuvarlama: (hedef+başlangıç nakdi+sabit dönem nakdi)/birim katkı.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38" customHeight="1">
      <x:c r="A12" s="2" t="str">
        <x:v>Kapasite</x:v>
      </x:c>
      <x:c r="B12" s="10" t="str">
        <x:v>Aktif hafta×haftalık saat−kurulum−kanal bakımı; müşteri edinme/teslim/support saatine bölünür.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38" customHeight="1">
      <x:c r="A13" s="2" t="str">
        <x:v>Örnek sonuç</x:v>
      </x:c>
      <x:c r="B13" s="10" t="str">
        <x:v>Örnek alıcı adedi kapasiteyle sınırlandırılır. Demand/sales tahmini değildir.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38" customHeight="1">
      <x:c r="A14" s="2" t="str">
        <x:v>Ekonomik sonuç</x:v>
      </x:c>
      <x:c r="B14" s="10" t="str">
        <x:v>Net operasyon nakdi−toplam kurucu saati×saat fırsat maliyeti. Aynı emek nakitten ikinci kez düşülmez.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38" customHeight="1">
      <x:c r="A15" s="2" t="str">
        <x:v>Kapsam</x:v>
      </x:c>
      <x:c r="B15" s="10" t="str">
        <x:v>46 SourceA aile; GPT modül/thirdparty/unknown kayıtları web source ledgerdadır, duplicate ticari row değildir.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38" customHeight="1">
      <x:c r="A16" s="2" t="str">
        <x:v>Kaynak 1</x:v>
      </x:c>
      <x:c r="B16" s="10" t="str">
        <x:v>İki kaynak klasöründeki anonimleştirilmiş ürün/iş akışı metinleri; gerçek müşteri tutarı kullanılmadı.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38" customHeight="1">
      <x:c r="A17" s="2" t="str">
        <x:v>Kaynak 2</x:v>
      </x:c>
      <x:c r="B17" s="10" t="str">
        <x:v>https://analysisfunction.civilservice.gov.uk/policy-store/an-introductory-guide-to-mcda/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38" customHeight="1">
      <x:c r="A18" s="2" t="str">
        <x:v>Kaynak 3</x:v>
      </x:c>
      <x:c r="B18" s="10" t="str">
        <x:v>https://developer.wordpress.org/plugins/wordpress-org/detailed-plugin-guidelines/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38" customHeight="1">
      <x:c r="A19" s="2" t="str">
        <x:v>Ek araştırma</x:v>
      </x:c>
      <x:c r="B19" s="10" t="str">
        <x:v>BCG erken portföy nakdini hesaplamaz. Pts×Pcs, trust çarpanı, RAND Monte Carlo kullanılmadı.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38" customHeight="1">
      <x:c r="A20" s="2" t="str">
        <x:v>Varsayım</x:v>
      </x:c>
      <x:c r="B20" s="10" t="str">
        <x:v>Fiyat/adet/saat/fee/refund/cost girdileri test amaçlı USD senaryosu, mevcut satış veya fiyat benchmarkı değil.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38" customHeight="1">
      <x:c r="A21" s="2" t="str">
        <x:v>Kullanım</x:v>
      </x:c>
      <x:c r="B21" s="10" t="str">
        <x:v>Ayarlar/kriter/girdi hücrelerini düzenle. Kapılar kanıt olmadan2 yapılmaz. Genel soru listesi puana eklenmez.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58" customHeight="1">
      <x:c r="A23" s="2" t="str">
        <x:v>Kohort</x:v>
      </x:c>
      <x:c r="B23" s="10" t="str">
        <x:v>Yeni alıcılar lansman sonrası tam aylara eşit bölünür (aritmetik senaryo; kesirli adet, gerçek forecast değil). Churn aylık kayıp oranı varsayımıdır; toplam faturalı ay kohorttan hesaplanır.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58" customHeight="1">
      <x:c r="A24" s="2" t="str">
        <x:v>Sınır</x:v>
      </x:c>
      <x:c r="B24" s="10" t="str">
        <x:v>Ufuk 1–12 tam ay. Abonelik fiyatı aylık, en fazla faturalı ay müşteri başına süre sınırı; annual peşin/MRR karıştırılmaz.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58" customHeight="1">
      <x:c r="A25" s="2" t="str">
        <x:v>Karar</x:v>
      </x:c>
      <x:c r="B25" s="10" t="str">
        <x:v>Varsayılan hedefi kapasitede tutturamayan yüksek puan, yalnız bir test tercihidir. Hedef/iş gücü/teslim kapsamı değişmeden yatırım önceliği sayılmaz.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9AA8B4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</x:row>
    <x:row r="2" ht="24" customHeight="1">
      <x:c r="A2" s="2" t="str">
        <x:v>Aylık nakit: eşit yeni alıcı kohortu senaryosu (olasılık değildir)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  <x:row r="3" ht="24" customHeight="1">
      <x:c r="A3" s="2" t="str">
        <x:v>Abonelikte fiyat aylıktır; yıllık peşin tahsilat modeli uygulanmaz. Lansman ayı yukarı yuvarlanır; churn varsayımı Proje girdileri AT.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</x:row>
    <x:row r="4" ht="38" customHeight="1">
      <x:c r="A4" s="5" t="str">
        <x:v>Ürün</x:v>
      </x:c>
      <x:c r="B4" s="5" t="str">
        <x:v>Ay 1 net USD</x:v>
      </x:c>
      <x:c r="C4" s="5" t="str">
        <x:v>Ay 2 net USD</x:v>
      </x:c>
      <x:c r="D4" s="5" t="str">
        <x:v>Ay 3 net USD</x:v>
      </x:c>
      <x:c r="E4" s="5" t="str">
        <x:v>Ay 4 net USD</x:v>
      </x:c>
      <x:c r="F4" s="5" t="str">
        <x:v>Ay 5 net USD</x:v>
      </x:c>
      <x:c r="G4" s="5" t="str">
        <x:v>Ay 6 net USD</x:v>
      </x:c>
      <x:c r="H4" s="5" t="str">
        <x:v>Ay 7 net USD</x:v>
      </x:c>
      <x:c r="I4" s="5" t="str">
        <x:v>Ay 8 net USD</x:v>
      </x:c>
      <x:c r="J4" s="5" t="str">
        <x:v>Ay 9 net USD</x:v>
      </x:c>
      <x:c r="K4" s="5" t="str">
        <x:v>Ay 10 net USD</x:v>
      </x:c>
      <x:c r="L4" s="5" t="str">
        <x:v>Ay 11 net USD</x:v>
      </x:c>
      <x:c r="M4" s="5" t="str">
        <x:v>Ay 12 net USD</x:v>
      </x:c>
      <x:c r="N4" s="5" t="str">
        <x:v>Toplam net USD</x:v>
      </x:c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</x:row>
    <x:row r="5" ht="24" customHeight="1">
      <x:c r="A5" s="2" t="str">
        <x:f>'Hesap'!B5</x:f>
        <x:v>Actionplan</x:v>
      </x:c>
      <x:c r="B5" s="24" t="n">
        <x:f>IF(1&gt;'Ayarlar'!$B$6,0,IF(MAX(0,'Ayarlar'!$B$6-IF('Ayarlar'!$B$7&lt;=0,99,ROUNDUP(MAX('Proje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girdileri'!AD5/'Ayarlar'!$B$7,0))/(52/12),0)),1-1&lt;'Proje girdileri'!AH5),POWER(1-'Proje girdileri'!AT5,1-1),0)),IF(1&gt;IF('Ayarlar'!$B$7&lt;=0,99,ROUNDUP(MAX('Proje girdileri'!AC5,ROUNDUP('Proje girdileri'!AD5/'Ayarlar'!$B$7,0))/(52/12),0)),1,0))*('Proje girdileri'!Y5*(1-'Proje girdileri'!AA5-'Proje girdileri'!AB5)-'Proje girdileri'!Z5))-'Proje girdileri'!AJ5-'Proje girdileri'!AI5)</x:f>
        <x:v>-83</x:v>
      </x:c>
      <x:c r="C5" s="24" t="n">
        <x:f>IF(2&gt;'Ayarlar'!$B$6,0,IF(MAX(0,'Ayarlar'!$B$6-IF('Ayarlar'!$B$7&lt;=0,99,ROUNDUP(MAX('Proje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girdileri'!AD5/'Ayarlar'!$B$7,0))/(52/12),0)),2-1&lt;'Proje girdileri'!AH5),POWER(1-'Proje girdileri'!AT5,2-1),0)+IF(AND(2&gt;IF('Ayarlar'!$B$7&lt;=0,99,ROUNDUP(MAX('Proje girdileri'!AC5,ROUNDUP('Proje girdileri'!AD5/'Ayarlar'!$B$7,0))/(52/12),0)),2-2&lt;'Proje girdileri'!AH5),POWER(1-'Proje girdileri'!AT5,2-2),0)),IF(2&gt;IF('Ayarlar'!$B$7&lt;=0,99,ROUNDUP(MAX('Proje girdileri'!AC5,ROUNDUP('Proje girdileri'!AD5/'Ayarlar'!$B$7,0))/(52/12),0)),1,0))*('Proje girdileri'!Y5*(1-'Proje girdileri'!AA5-'Proje girdileri'!AB5)-'Proje girdileri'!Z5))-'Proje girdileri'!AJ5)</x:f>
        <x:v>-8</x:v>
      </x:c>
      <x:c r="D5" s="24" t="n">
        <x:f>IF(3&gt;'Ayarlar'!$B$6,0,IF(MAX(0,'Ayarlar'!$B$6-IF('Ayarlar'!$B$7&lt;=0,99,ROUNDUP(MAX('Proje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girdileri'!AD5/'Ayarlar'!$B$7,0))/(52/12),0)),3-1&lt;'Proje girdileri'!AH5),POWER(1-'Proje girdileri'!AT5,3-1),0)+IF(AND(2&gt;IF('Ayarlar'!$B$7&lt;=0,99,ROUNDUP(MAX('Proje girdileri'!AC5,ROUNDUP('Proje girdileri'!AD5/'Ayarlar'!$B$7,0))/(52/12),0)),3-2&lt;'Proje girdileri'!AH5),POWER(1-'Proje girdileri'!AT5,3-2),0)+IF(AND(3&gt;IF('Ayarlar'!$B$7&lt;=0,99,ROUNDUP(MAX('Proje girdileri'!AC5,ROUNDUP('Proje girdileri'!AD5/'Ayarlar'!$B$7,0))/(52/12),0)),3-3&lt;'Proje girdileri'!AH5),POWER(1-'Proje girdileri'!AT5,3-3),0)),IF(3&gt;IF('Ayarlar'!$B$7&lt;=0,99,ROUNDUP(MAX('Proje girdileri'!AC5,ROUNDUP('Proje girdileri'!AD5/'Ayarlar'!$B$7,0))/(52/12),0)),1,0))*('Proje girdileri'!Y5*(1-'Proje girdileri'!AA5-'Proje girdileri'!AB5)-'Proje girdileri'!Z5))-'Proje girdileri'!AJ5)</x:f>
        <x:v>116.12499999999997</x:v>
      </x:c>
      <x:c r="E5" s="24" t="n">
        <x:f>IF(4&gt;'Ayarlar'!$B$6,0,IF(MAX(0,'Ayarlar'!$B$6-IF('Ayarlar'!$B$7&lt;=0,99,ROUNDUP(MAX('Proje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girdileri'!AD5/'Ayarlar'!$B$7,0))/(52/12),0)),4-1&lt;'Proje girdileri'!AH5),POWER(1-'Proje girdileri'!AT5,4-1),0)+IF(AND(2&gt;IF('Ayarlar'!$B$7&lt;=0,99,ROUNDUP(MAX('Proje girdileri'!AC5,ROUNDUP('Proje girdileri'!AD5/'Ayarlar'!$B$7,0))/(52/12),0)),4-2&lt;'Proje girdileri'!AH5),POWER(1-'Proje girdileri'!AT5,4-2),0)+IF(AND(3&gt;IF('Ayarlar'!$B$7&lt;=0,99,ROUNDUP(MAX('Proje girdileri'!AC5,ROUNDUP('Proje girdileri'!AD5/'Ayarlar'!$B$7,0))/(52/12),0)),4-3&lt;'Proje girdileri'!AH5),POWER(1-'Proje girdileri'!AT5,4-3),0)+IF(AND(4&gt;IF('Ayarlar'!$B$7&lt;=0,99,ROUNDUP(MAX('Proje girdileri'!AC5,ROUNDUP('Proje girdileri'!AD5/'Ayarlar'!$B$7,0))/(52/12),0)),4-4&lt;'Proje girdileri'!AH5),POWER(1-'Proje girdileri'!AT5,4-4),0)),IF(4&gt;IF('Ayarlar'!$B$7&lt;=0,99,ROUNDUP(MAX('Proje girdileri'!AC5,ROUNDUP('Proje girdileri'!AD5/'Ayarlar'!$B$7,0))/(52/12),0)),1,0))*('Proje girdileri'!Y5*(1-'Proje girdileri'!AA5-'Proje girdileri'!AB5)-'Proje girdileri'!Z5))-'Proje girdileri'!AJ5)</x:f>
        <x:v>116.12499999999997</x:v>
      </x:c>
      <x:c r="F5" s="24" t="n">
        <x:f>IF(5&gt;'Ayarlar'!$B$6,0,IF(MAX(0,'Ayarlar'!$B$6-IF('Ayarlar'!$B$7&lt;=0,99,ROUNDUP(MAX('Proje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girdileri'!AD5/'Ayarlar'!$B$7,0))/(52/12),0)),5-1&lt;'Proje girdileri'!AH5),POWER(1-'Proje girdileri'!AT5,5-1),0)+IF(AND(2&gt;IF('Ayarlar'!$B$7&lt;=0,99,ROUNDUP(MAX('Proje girdileri'!AC5,ROUNDUP('Proje girdileri'!AD5/'Ayarlar'!$B$7,0))/(52/12),0)),5-2&lt;'Proje girdileri'!AH5),POWER(1-'Proje girdileri'!AT5,5-2),0)+IF(AND(3&gt;IF('Ayarlar'!$B$7&lt;=0,99,ROUNDUP(MAX('Proje girdileri'!AC5,ROUNDUP('Proje girdileri'!AD5/'Ayarlar'!$B$7,0))/(52/12),0)),5-3&lt;'Proje girdileri'!AH5),POWER(1-'Proje girdileri'!AT5,5-3),0)+IF(AND(4&gt;IF('Ayarlar'!$B$7&lt;=0,99,ROUNDUP(MAX('Proje girdileri'!AC5,ROUNDUP('Proje girdileri'!AD5/'Ayarlar'!$B$7,0))/(52/12),0)),5-4&lt;'Proje girdileri'!AH5),POWER(1-'Proje girdileri'!AT5,5-4),0)+IF(AND(5&gt;IF('Ayarlar'!$B$7&lt;=0,99,ROUNDUP(MAX('Proje girdileri'!AC5,ROUNDUP('Proje girdileri'!AD5/'Ayarlar'!$B$7,0))/(52/12),0)),5-5&lt;'Proje girdileri'!AH5),POWER(1-'Proje girdileri'!AT5,5-5),0)),IF(5&gt;IF('Ayarlar'!$B$7&lt;=0,99,ROUNDUP(MAX('Proje girdileri'!AC5,ROUNDUP('Proje girdileri'!AD5/'Ayarlar'!$B$7,0))/(52/12),0)),1,0))*('Proje girdileri'!Y5*(1-'Proje girdileri'!AA5-'Proje girdileri'!AB5)-'Proje girdileri'!Z5))-'Proje girdileri'!AJ5)</x:f>
        <x:v>116.12499999999997</x:v>
      </x:c>
      <x:c r="G5" s="24" t="n">
        <x:f>IF(6&gt;'Ayarlar'!$B$6,0,IF(MAX(0,'Ayarlar'!$B$6-IF('Ayarlar'!$B$7&lt;=0,99,ROUNDUP(MAX('Proje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girdileri'!AD5/'Ayarlar'!$B$7,0))/(52/12),0)),6-1&lt;'Proje girdileri'!AH5),POWER(1-'Proje girdileri'!AT5,6-1),0)+IF(AND(2&gt;IF('Ayarlar'!$B$7&lt;=0,99,ROUNDUP(MAX('Proje girdileri'!AC5,ROUNDUP('Proje girdileri'!AD5/'Ayarlar'!$B$7,0))/(52/12),0)),6-2&lt;'Proje girdileri'!AH5),POWER(1-'Proje girdileri'!AT5,6-2),0)+IF(AND(3&gt;IF('Ayarlar'!$B$7&lt;=0,99,ROUNDUP(MAX('Proje girdileri'!AC5,ROUNDUP('Proje girdileri'!AD5/'Ayarlar'!$B$7,0))/(52/12),0)),6-3&lt;'Proje girdileri'!AH5),POWER(1-'Proje girdileri'!AT5,6-3),0)+IF(AND(4&gt;IF('Ayarlar'!$B$7&lt;=0,99,ROUNDUP(MAX('Proje girdileri'!AC5,ROUNDUP('Proje girdileri'!AD5/'Ayarlar'!$B$7,0))/(52/12),0)),6-4&lt;'Proje girdileri'!AH5),POWER(1-'Proje girdileri'!AT5,6-4),0)+IF(AND(5&gt;IF('Ayarlar'!$B$7&lt;=0,99,ROUNDUP(MAX('Proje girdileri'!AC5,ROUNDUP('Proje girdileri'!AD5/'Ayarlar'!$B$7,0))/(52/12),0)),6-5&lt;'Proje girdileri'!AH5),POWER(1-'Proje girdileri'!AT5,6-5),0)+IF(AND(6&gt;IF('Ayarlar'!$B$7&lt;=0,99,ROUNDUP(MAX('Proje girdileri'!AC5,ROUNDUP('Proje girdileri'!AD5/'Ayarlar'!$B$7,0))/(52/12),0)),6-6&lt;'Proje girdileri'!AH5),POWER(1-'Proje girdileri'!AT5,6-6),0)),IF(6&gt;IF('Ayarlar'!$B$7&lt;=0,99,ROUNDUP(MAX('Proje girdileri'!AC5,ROUNDUP('Proje girdileri'!AD5/'Ayarlar'!$B$7,0))/(52/12),0)),1,0))*('Proje girdileri'!Y5*(1-'Proje girdileri'!AA5-'Proje girdileri'!AB5)-'Proje girdileri'!Z5))-'Proje girdileri'!AJ5)</x:f>
        <x:v>116.12499999999997</x:v>
      </x:c>
      <x:c r="H5" s="24" t="n">
        <x:f>IF(7&gt;'Ayarlar'!$B$6,0,IF(MAX(0,'Ayarlar'!$B$6-IF('Ayarlar'!$B$7&lt;=0,99,ROUNDUP(MAX('Proje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girdileri'!AD5/'Ayarlar'!$B$7,0))/(52/12),0)),7-1&lt;'Proje girdileri'!AH5),POWER(1-'Proje girdileri'!AT5,7-1),0)+IF(AND(2&gt;IF('Ayarlar'!$B$7&lt;=0,99,ROUNDUP(MAX('Proje girdileri'!AC5,ROUNDUP('Proje girdileri'!AD5/'Ayarlar'!$B$7,0))/(52/12),0)),7-2&lt;'Proje girdileri'!AH5),POWER(1-'Proje girdileri'!AT5,7-2),0)+IF(AND(3&gt;IF('Ayarlar'!$B$7&lt;=0,99,ROUNDUP(MAX('Proje girdileri'!AC5,ROUNDUP('Proje girdileri'!AD5/'Ayarlar'!$B$7,0))/(52/12),0)),7-3&lt;'Proje girdileri'!AH5),POWER(1-'Proje girdileri'!AT5,7-3),0)+IF(AND(4&gt;IF('Ayarlar'!$B$7&lt;=0,99,ROUNDUP(MAX('Proje girdileri'!AC5,ROUNDUP('Proje girdileri'!AD5/'Ayarlar'!$B$7,0))/(52/12),0)),7-4&lt;'Proje girdileri'!AH5),POWER(1-'Proje girdileri'!AT5,7-4),0)+IF(AND(5&gt;IF('Ayarlar'!$B$7&lt;=0,99,ROUNDUP(MAX('Proje girdileri'!AC5,ROUNDUP('Proje girdileri'!AD5/'Ayarlar'!$B$7,0))/(52/12),0)),7-5&lt;'Proje girdileri'!AH5),POWER(1-'Proje girdileri'!AT5,7-5),0)+IF(AND(6&gt;IF('Ayarlar'!$B$7&lt;=0,99,ROUNDUP(MAX('Proje girdileri'!AC5,ROUNDUP('Proje girdileri'!AD5/'Ayarlar'!$B$7,0))/(52/12),0)),7-6&lt;'Proje girdileri'!AH5),POWER(1-'Proje girdileri'!AT5,7-6),0)+IF(AND(7&gt;IF('Ayarlar'!$B$7&lt;=0,99,ROUNDUP(MAX('Proje girdileri'!AC5,ROUNDUP('Proje girdileri'!AD5/'Ayarlar'!$B$7,0))/(52/12),0)),7-7&lt;'Proje girdileri'!AH5),POWER(1-'Proje girdileri'!AT5,7-7),0)),IF(7&gt;IF('Ayarlar'!$B$7&lt;=0,99,ROUNDUP(MAX('Proje girdileri'!AC5,ROUNDUP('Proje girdileri'!AD5/'Ayarlar'!$B$7,0))/(52/12),0)),1,0))*('Proje girdileri'!Y5*(1-'Proje girdileri'!AA5-'Proje girdileri'!AB5)-'Proje girdileri'!Z5))-'Proje girdileri'!AJ5)</x:f>
        <x:v>0</x:v>
      </x:c>
      <x:c r="I5" s="24" t="n">
        <x:f>IF(8&gt;'Ayarlar'!$B$6,0,IF(MAX(0,'Ayarlar'!$B$6-IF('Ayarlar'!$B$7&lt;=0,99,ROUNDUP(MAX('Proje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girdileri'!AD5/'Ayarlar'!$B$7,0))/(52/12),0)),8-1&lt;'Proje girdileri'!AH5),POWER(1-'Proje girdileri'!AT5,8-1),0)+IF(AND(2&gt;IF('Ayarlar'!$B$7&lt;=0,99,ROUNDUP(MAX('Proje girdileri'!AC5,ROUNDUP('Proje girdileri'!AD5/'Ayarlar'!$B$7,0))/(52/12),0)),8-2&lt;'Proje girdileri'!AH5),POWER(1-'Proje girdileri'!AT5,8-2),0)+IF(AND(3&gt;IF('Ayarlar'!$B$7&lt;=0,99,ROUNDUP(MAX('Proje girdileri'!AC5,ROUNDUP('Proje girdileri'!AD5/'Ayarlar'!$B$7,0))/(52/12),0)),8-3&lt;'Proje girdileri'!AH5),POWER(1-'Proje girdileri'!AT5,8-3),0)+IF(AND(4&gt;IF('Ayarlar'!$B$7&lt;=0,99,ROUNDUP(MAX('Proje girdileri'!AC5,ROUNDUP('Proje girdileri'!AD5/'Ayarlar'!$B$7,0))/(52/12),0)),8-4&lt;'Proje girdileri'!AH5),POWER(1-'Proje girdileri'!AT5,8-4),0)+IF(AND(5&gt;IF('Ayarlar'!$B$7&lt;=0,99,ROUNDUP(MAX('Proje girdileri'!AC5,ROUNDUP('Proje girdileri'!AD5/'Ayarlar'!$B$7,0))/(52/12),0)),8-5&lt;'Proje girdileri'!AH5),POWER(1-'Proje girdileri'!AT5,8-5),0)+IF(AND(6&gt;IF('Ayarlar'!$B$7&lt;=0,99,ROUNDUP(MAX('Proje girdileri'!AC5,ROUNDUP('Proje girdileri'!AD5/'Ayarlar'!$B$7,0))/(52/12),0)),8-6&lt;'Proje girdileri'!AH5),POWER(1-'Proje girdileri'!AT5,8-6),0)+IF(AND(7&gt;IF('Ayarlar'!$B$7&lt;=0,99,ROUNDUP(MAX('Proje girdileri'!AC5,ROUNDUP('Proje girdileri'!AD5/'Ayarlar'!$B$7,0))/(52/12),0)),8-7&lt;'Proje girdileri'!AH5),POWER(1-'Proje girdileri'!AT5,8-7),0)+IF(AND(8&gt;IF('Ayarlar'!$B$7&lt;=0,99,ROUNDUP(MAX('Proje girdileri'!AC5,ROUNDUP('Proje girdileri'!AD5/'Ayarlar'!$B$7,0))/(52/12),0)),8-8&lt;'Proje girdileri'!AH5),POWER(1-'Proje girdileri'!AT5,8-8),0)),IF(8&gt;IF('Ayarlar'!$B$7&lt;=0,99,ROUNDUP(MAX('Proje girdileri'!AC5,ROUNDUP('Proje girdileri'!AD5/'Ayarlar'!$B$7,0))/(52/12),0)),1,0))*('Proje girdileri'!Y5*(1-'Proje girdileri'!AA5-'Proje girdileri'!AB5)-'Proje girdileri'!Z5))-'Proje girdileri'!AJ5)</x:f>
        <x:v>0</x:v>
      </x:c>
      <x:c r="J5" s="24" t="n">
        <x:f>IF(9&gt;'Ayarlar'!$B$6,0,IF(MAX(0,'Ayarlar'!$B$6-IF('Ayarlar'!$B$7&lt;=0,99,ROUNDUP(MAX('Proje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girdileri'!AD5/'Ayarlar'!$B$7,0))/(52/12),0)),9-1&lt;'Proje girdileri'!AH5),POWER(1-'Proje girdileri'!AT5,9-1),0)+IF(AND(2&gt;IF('Ayarlar'!$B$7&lt;=0,99,ROUNDUP(MAX('Proje girdileri'!AC5,ROUNDUP('Proje girdileri'!AD5/'Ayarlar'!$B$7,0))/(52/12),0)),9-2&lt;'Proje girdileri'!AH5),POWER(1-'Proje girdileri'!AT5,9-2),0)+IF(AND(3&gt;IF('Ayarlar'!$B$7&lt;=0,99,ROUNDUP(MAX('Proje girdileri'!AC5,ROUNDUP('Proje girdileri'!AD5/'Ayarlar'!$B$7,0))/(52/12),0)),9-3&lt;'Proje girdileri'!AH5),POWER(1-'Proje girdileri'!AT5,9-3),0)+IF(AND(4&gt;IF('Ayarlar'!$B$7&lt;=0,99,ROUNDUP(MAX('Proje girdileri'!AC5,ROUNDUP('Proje girdileri'!AD5/'Ayarlar'!$B$7,0))/(52/12),0)),9-4&lt;'Proje girdileri'!AH5),POWER(1-'Proje girdileri'!AT5,9-4),0)+IF(AND(5&gt;IF('Ayarlar'!$B$7&lt;=0,99,ROUNDUP(MAX('Proje girdileri'!AC5,ROUNDUP('Proje girdileri'!AD5/'Ayarlar'!$B$7,0))/(52/12),0)),9-5&lt;'Proje girdileri'!AH5),POWER(1-'Proje girdileri'!AT5,9-5),0)+IF(AND(6&gt;IF('Ayarlar'!$B$7&lt;=0,99,ROUNDUP(MAX('Proje girdileri'!AC5,ROUNDUP('Proje girdileri'!AD5/'Ayarlar'!$B$7,0))/(52/12),0)),9-6&lt;'Proje girdileri'!AH5),POWER(1-'Proje girdileri'!AT5,9-6),0)+IF(AND(7&gt;IF('Ayarlar'!$B$7&lt;=0,99,ROUNDUP(MAX('Proje girdileri'!AC5,ROUNDUP('Proje girdileri'!AD5/'Ayarlar'!$B$7,0))/(52/12),0)),9-7&lt;'Proje girdileri'!AH5),POWER(1-'Proje girdileri'!AT5,9-7),0)+IF(AND(8&gt;IF('Ayarlar'!$B$7&lt;=0,99,ROUNDUP(MAX('Proje girdileri'!AC5,ROUNDUP('Proje girdileri'!AD5/'Ayarlar'!$B$7,0))/(52/12),0)),9-8&lt;'Proje girdileri'!AH5),POWER(1-'Proje girdileri'!AT5,9-8),0)+IF(AND(9&gt;IF('Ayarlar'!$B$7&lt;=0,99,ROUNDUP(MAX('Proje girdileri'!AC5,ROUNDUP('Proje girdileri'!AD5/'Ayarlar'!$B$7,0))/(52/12),0)),9-9&lt;'Proje girdileri'!AH5),POWER(1-'Proje girdileri'!AT5,9-9),0)),IF(9&gt;IF('Ayarlar'!$B$7&lt;=0,99,ROUNDUP(MAX('Proje girdileri'!AC5,ROUNDUP('Proje girdileri'!AD5/'Ayarlar'!$B$7,0))/(52/12),0)),1,0))*('Proje girdileri'!Y5*(1-'Proje girdileri'!AA5-'Proje girdileri'!AB5)-'Proje girdileri'!Z5))-'Proje girdileri'!AJ5)</x:f>
        <x:v>0</x:v>
      </x:c>
      <x:c r="K5" s="24" t="n">
        <x:f>IF(10&gt;'Ayarlar'!$B$6,0,IF(MAX(0,'Ayarlar'!$B$6-IF('Ayarlar'!$B$7&lt;=0,99,ROUNDUP(MAX('Proje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girdileri'!AD5/'Ayarlar'!$B$7,0))/(52/12),0)),10-1&lt;'Proje girdileri'!AH5),POWER(1-'Proje girdileri'!AT5,10-1),0)+IF(AND(2&gt;IF('Ayarlar'!$B$7&lt;=0,99,ROUNDUP(MAX('Proje girdileri'!AC5,ROUNDUP('Proje girdileri'!AD5/'Ayarlar'!$B$7,0))/(52/12),0)),10-2&lt;'Proje girdileri'!AH5),POWER(1-'Proje girdileri'!AT5,10-2),0)+IF(AND(3&gt;IF('Ayarlar'!$B$7&lt;=0,99,ROUNDUP(MAX('Proje girdileri'!AC5,ROUNDUP('Proje girdileri'!AD5/'Ayarlar'!$B$7,0))/(52/12),0)),10-3&lt;'Proje girdileri'!AH5),POWER(1-'Proje girdileri'!AT5,10-3),0)+IF(AND(4&gt;IF('Ayarlar'!$B$7&lt;=0,99,ROUNDUP(MAX('Proje girdileri'!AC5,ROUNDUP('Proje girdileri'!AD5/'Ayarlar'!$B$7,0))/(52/12),0)),10-4&lt;'Proje girdileri'!AH5),POWER(1-'Proje girdileri'!AT5,10-4),0)+IF(AND(5&gt;IF('Ayarlar'!$B$7&lt;=0,99,ROUNDUP(MAX('Proje girdileri'!AC5,ROUNDUP('Proje girdileri'!AD5/'Ayarlar'!$B$7,0))/(52/12),0)),10-5&lt;'Proje girdileri'!AH5),POWER(1-'Proje girdileri'!AT5,10-5),0)+IF(AND(6&gt;IF('Ayarlar'!$B$7&lt;=0,99,ROUNDUP(MAX('Proje girdileri'!AC5,ROUNDUP('Proje girdileri'!AD5/'Ayarlar'!$B$7,0))/(52/12),0)),10-6&lt;'Proje girdileri'!AH5),POWER(1-'Proje girdileri'!AT5,10-6),0)+IF(AND(7&gt;IF('Ayarlar'!$B$7&lt;=0,99,ROUNDUP(MAX('Proje girdileri'!AC5,ROUNDUP('Proje girdileri'!AD5/'Ayarlar'!$B$7,0))/(52/12),0)),10-7&lt;'Proje girdileri'!AH5),POWER(1-'Proje girdileri'!AT5,10-7),0)+IF(AND(8&gt;IF('Ayarlar'!$B$7&lt;=0,99,ROUNDUP(MAX('Proje girdileri'!AC5,ROUNDUP('Proje girdileri'!AD5/'Ayarlar'!$B$7,0))/(52/12),0)),10-8&lt;'Proje girdileri'!AH5),POWER(1-'Proje girdileri'!AT5,10-8),0)+IF(AND(9&gt;IF('Ayarlar'!$B$7&lt;=0,99,ROUNDUP(MAX('Proje girdileri'!AC5,ROUNDUP('Proje girdileri'!AD5/'Ayarlar'!$B$7,0))/(52/12),0)),10-9&lt;'Proje girdileri'!AH5),POWER(1-'Proje girdileri'!AT5,10-9),0)+IF(AND(10&gt;IF('Ayarlar'!$B$7&lt;=0,99,ROUNDUP(MAX('Proje girdileri'!AC5,ROUNDUP('Proje girdileri'!AD5/'Ayarlar'!$B$7,0))/(52/12),0)),10-10&lt;'Proje girdileri'!AH5),POWER(1-'Proje girdileri'!AT5,10-10),0)),IF(10&gt;IF('Ayarlar'!$B$7&lt;=0,99,ROUNDUP(MAX('Proje girdileri'!AC5,ROUNDUP('Proje girdileri'!AD5/'Ayarlar'!$B$7,0))/(52/12),0)),1,0))*('Proje girdileri'!Y5*(1-'Proje girdileri'!AA5-'Proje girdileri'!AB5)-'Proje girdileri'!Z5))-'Proje girdileri'!AJ5)</x:f>
        <x:v>0</x:v>
      </x:c>
      <x:c r="L5" s="24" t="n">
        <x:f>IF(11&gt;'Ayarlar'!$B$6,0,IF(MAX(0,'Ayarlar'!$B$6-IF('Ayarlar'!$B$7&lt;=0,99,ROUNDUP(MAX('Proje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girdileri'!AD5/'Ayarlar'!$B$7,0))/(52/12),0)),11-1&lt;'Proje girdileri'!AH5),POWER(1-'Proje girdileri'!AT5,11-1),0)+IF(AND(2&gt;IF('Ayarlar'!$B$7&lt;=0,99,ROUNDUP(MAX('Proje girdileri'!AC5,ROUNDUP('Proje girdileri'!AD5/'Ayarlar'!$B$7,0))/(52/12),0)),11-2&lt;'Proje girdileri'!AH5),POWER(1-'Proje girdileri'!AT5,11-2),0)+IF(AND(3&gt;IF('Ayarlar'!$B$7&lt;=0,99,ROUNDUP(MAX('Proje girdileri'!AC5,ROUNDUP('Proje girdileri'!AD5/'Ayarlar'!$B$7,0))/(52/12),0)),11-3&lt;'Proje girdileri'!AH5),POWER(1-'Proje girdileri'!AT5,11-3),0)+IF(AND(4&gt;IF('Ayarlar'!$B$7&lt;=0,99,ROUNDUP(MAX('Proje girdileri'!AC5,ROUNDUP('Proje girdileri'!AD5/'Ayarlar'!$B$7,0))/(52/12),0)),11-4&lt;'Proje girdileri'!AH5),POWER(1-'Proje girdileri'!AT5,11-4),0)+IF(AND(5&gt;IF('Ayarlar'!$B$7&lt;=0,99,ROUNDUP(MAX('Proje girdileri'!AC5,ROUNDUP('Proje girdileri'!AD5/'Ayarlar'!$B$7,0))/(52/12),0)),11-5&lt;'Proje girdileri'!AH5),POWER(1-'Proje girdileri'!AT5,11-5),0)+IF(AND(6&gt;IF('Ayarlar'!$B$7&lt;=0,99,ROUNDUP(MAX('Proje girdileri'!AC5,ROUNDUP('Proje girdileri'!AD5/'Ayarlar'!$B$7,0))/(52/12),0)),11-6&lt;'Proje girdileri'!AH5),POWER(1-'Proje girdileri'!AT5,11-6),0)+IF(AND(7&gt;IF('Ayarlar'!$B$7&lt;=0,99,ROUNDUP(MAX('Proje girdileri'!AC5,ROUNDUP('Proje girdileri'!AD5/'Ayarlar'!$B$7,0))/(52/12),0)),11-7&lt;'Proje girdileri'!AH5),POWER(1-'Proje girdileri'!AT5,11-7),0)+IF(AND(8&gt;IF('Ayarlar'!$B$7&lt;=0,99,ROUNDUP(MAX('Proje girdileri'!AC5,ROUNDUP('Proje girdileri'!AD5/'Ayarlar'!$B$7,0))/(52/12),0)),11-8&lt;'Proje girdileri'!AH5),POWER(1-'Proje girdileri'!AT5,11-8),0)+IF(AND(9&gt;IF('Ayarlar'!$B$7&lt;=0,99,ROUNDUP(MAX('Proje girdileri'!AC5,ROUNDUP('Proje girdileri'!AD5/'Ayarlar'!$B$7,0))/(52/12),0)),11-9&lt;'Proje girdileri'!AH5),POWER(1-'Proje girdileri'!AT5,11-9),0)+IF(AND(10&gt;IF('Ayarlar'!$B$7&lt;=0,99,ROUNDUP(MAX('Proje girdileri'!AC5,ROUNDUP('Proje girdileri'!AD5/'Ayarlar'!$B$7,0))/(52/12),0)),11-10&lt;'Proje girdileri'!AH5),POWER(1-'Proje girdileri'!AT5,11-10),0)+IF(AND(11&gt;IF('Ayarlar'!$B$7&lt;=0,99,ROUNDUP(MAX('Proje girdileri'!AC5,ROUNDUP('Proje girdileri'!AD5/'Ayarlar'!$B$7,0))/(52/12),0)),11-11&lt;'Proje girdileri'!AH5),POWER(1-'Proje girdileri'!AT5,11-11),0)),IF(11&gt;IF('Ayarlar'!$B$7&lt;=0,99,ROUNDUP(MAX('Proje girdileri'!AC5,ROUNDUP('Proje girdileri'!AD5/'Ayarlar'!$B$7,0))/(52/12),0)),1,0))*('Proje girdileri'!Y5*(1-'Proje girdileri'!AA5-'Proje girdileri'!AB5)-'Proje girdileri'!Z5))-'Proje girdileri'!AJ5)</x:f>
        <x:v>0</x:v>
      </x:c>
      <x:c r="M5" s="24" t="n">
        <x:f>IF(12&gt;'Ayarlar'!$B$6,0,IF(MAX(0,'Ayarlar'!$B$6-IF('Ayarlar'!$B$7&lt;=0,99,ROUNDUP(MAX('Proje girdileri'!AC5,ROUNDUP('Proje girdileri'!AD5/'Ayarlar'!$B$7,0))/(52/12),0)))=0,0,'Hesap'!I5/MAX(0,'Ayarlar'!$B$6-IF('Ayarlar'!$B$7&lt;=0,99,ROUNDUP(MAX('Proje girdileri'!AC5,ROUNDUP('Proje girdileri'!AD5/'Ayarlar'!$B$7,0))/(52/12),0)))*IF('Proje girdileri'!C5="recurring",(IF(AND(1&gt;IF('Ayarlar'!$B$7&lt;=0,99,ROUNDUP(MAX('Proje girdileri'!AC5,ROUNDUP('Proje girdileri'!AD5/'Ayarlar'!$B$7,0))/(52/12),0)),12-1&lt;'Proje girdileri'!AH5),POWER(1-'Proje girdileri'!AT5,12-1),0)+IF(AND(2&gt;IF('Ayarlar'!$B$7&lt;=0,99,ROUNDUP(MAX('Proje girdileri'!AC5,ROUNDUP('Proje girdileri'!AD5/'Ayarlar'!$B$7,0))/(52/12),0)),12-2&lt;'Proje girdileri'!AH5),POWER(1-'Proje girdileri'!AT5,12-2),0)+IF(AND(3&gt;IF('Ayarlar'!$B$7&lt;=0,99,ROUNDUP(MAX('Proje girdileri'!AC5,ROUNDUP('Proje girdileri'!AD5/'Ayarlar'!$B$7,0))/(52/12),0)),12-3&lt;'Proje girdileri'!AH5),POWER(1-'Proje girdileri'!AT5,12-3),0)+IF(AND(4&gt;IF('Ayarlar'!$B$7&lt;=0,99,ROUNDUP(MAX('Proje girdileri'!AC5,ROUNDUP('Proje girdileri'!AD5/'Ayarlar'!$B$7,0))/(52/12),0)),12-4&lt;'Proje girdileri'!AH5),POWER(1-'Proje girdileri'!AT5,12-4),0)+IF(AND(5&gt;IF('Ayarlar'!$B$7&lt;=0,99,ROUNDUP(MAX('Proje girdileri'!AC5,ROUNDUP('Proje girdileri'!AD5/'Ayarlar'!$B$7,0))/(52/12),0)),12-5&lt;'Proje girdileri'!AH5),POWER(1-'Proje girdileri'!AT5,12-5),0)+IF(AND(6&gt;IF('Ayarlar'!$B$7&lt;=0,99,ROUNDUP(MAX('Proje girdileri'!AC5,ROUNDUP('Proje girdileri'!AD5/'Ayarlar'!$B$7,0))/(52/12),0)),12-6&lt;'Proje girdileri'!AH5),POWER(1-'Proje girdileri'!AT5,12-6),0)+IF(AND(7&gt;IF('Ayarlar'!$B$7&lt;=0,99,ROUNDUP(MAX('Proje girdileri'!AC5,ROUNDUP('Proje girdileri'!AD5/'Ayarlar'!$B$7,0))/(52/12),0)),12-7&lt;'Proje girdileri'!AH5),POWER(1-'Proje girdileri'!AT5,12-7),0)+IF(AND(8&gt;IF('Ayarlar'!$B$7&lt;=0,99,ROUNDUP(MAX('Proje girdileri'!AC5,ROUNDUP('Proje girdileri'!AD5/'Ayarlar'!$B$7,0))/(52/12),0)),12-8&lt;'Proje girdileri'!AH5),POWER(1-'Proje girdileri'!AT5,12-8),0)+IF(AND(9&gt;IF('Ayarlar'!$B$7&lt;=0,99,ROUNDUP(MAX('Proje girdileri'!AC5,ROUNDUP('Proje girdileri'!AD5/'Ayarlar'!$B$7,0))/(52/12),0)),12-9&lt;'Proje girdileri'!AH5),POWER(1-'Proje girdileri'!AT5,12-9),0)+IF(AND(10&gt;IF('Ayarlar'!$B$7&lt;=0,99,ROUNDUP(MAX('Proje girdileri'!AC5,ROUNDUP('Proje girdileri'!AD5/'Ayarlar'!$B$7,0))/(52/12),0)),12-10&lt;'Proje girdileri'!AH5),POWER(1-'Proje girdileri'!AT5,12-10),0)+IF(AND(11&gt;IF('Ayarlar'!$B$7&lt;=0,99,ROUNDUP(MAX('Proje girdileri'!AC5,ROUNDUP('Proje girdileri'!AD5/'Ayarlar'!$B$7,0))/(52/12),0)),12-11&lt;'Proje girdileri'!AH5),POWER(1-'Proje girdileri'!AT5,12-11),0)+IF(AND(12&gt;IF('Ayarlar'!$B$7&lt;=0,99,ROUNDUP(MAX('Proje girdileri'!AC5,ROUNDUP('Proje girdileri'!AD5/'Ayarlar'!$B$7,0))/(52/12),0)),12-12&lt;'Proje girdileri'!AH5),POWER(1-'Proje girdileri'!AT5,12-12),0)),IF(12&gt;IF('Ayarlar'!$B$7&lt;=0,99,ROUNDUP(MAX('Proje girdileri'!AC5,ROUNDUP('Proje girdileri'!AD5/'Ayarlar'!$B$7,0))/(52/12),0)),1,0))*('Proje girdileri'!Y5*(1-'Proje girdileri'!AA5-'Proje girdileri'!AB5)-'Proje girdileri'!Z5))-'Proje girdileri'!AJ5)</x:f>
        <x:v>0</x:v>
      </x:c>
      <x:c r="N5" s="24" t="n">
        <x:f>SUM(B5:M5)</x:f>
        <x:v>373.4999999999999</x:v>
      </x:c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</x:row>
    <x:row r="6" ht="24" customHeight="1">
      <x:c r="A6" s="2" t="str">
        <x:f>'Hesap'!B6</x:f>
        <x:v>Ajan gözlem paneli</x:v>
      </x:c>
      <x:c r="B6" s="24" t="n">
        <x:f>IF(1&gt;'Ayarlar'!$B$6,0,IF(MAX(0,'Ayarlar'!$B$6-IF('Ayarlar'!$B$7&lt;=0,99,ROUNDUP(MAX('Proje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girdileri'!AD6/'Ayarlar'!$B$7,0))/(52/12),0)),1-1&lt;'Proje girdileri'!AH6),POWER(1-'Proje girdileri'!AT6,1-1),0)),IF(1&gt;IF('Ayarlar'!$B$7&lt;=0,99,ROUNDUP(MAX('Proje girdileri'!AC6,ROUNDUP('Proje girdileri'!AD6/'Ayarlar'!$B$7,0))/(52/12),0)),1,0))*('Proje girdileri'!Y6*(1-'Proje girdileri'!AA6-'Proje girdileri'!AB6)-'Proje girdileri'!Z6))-'Proje girdileri'!AJ6-'Proje girdileri'!AI6)</x:f>
        <x:v>0</x:v>
      </x:c>
      <x:c r="C6" s="24" t="n">
        <x:f>IF(2&gt;'Ayarlar'!$B$6,0,IF(MAX(0,'Ayarlar'!$B$6-IF('Ayarlar'!$B$7&lt;=0,99,ROUNDUP(MAX('Proje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girdileri'!AD6/'Ayarlar'!$B$7,0))/(52/12),0)),2-1&lt;'Proje girdileri'!AH6),POWER(1-'Proje girdileri'!AT6,2-1),0)+IF(AND(2&gt;IF('Ayarlar'!$B$7&lt;=0,99,ROUNDUP(MAX('Proje girdileri'!AC6,ROUNDUP('Proje girdileri'!AD6/'Ayarlar'!$B$7,0))/(52/12),0)),2-2&lt;'Proje girdileri'!AH6),POWER(1-'Proje girdileri'!AT6,2-2),0)),IF(2&gt;IF('Ayarlar'!$B$7&lt;=0,99,ROUNDUP(MAX('Proje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D6" s="24" t="n">
        <x:f>IF(3&gt;'Ayarlar'!$B$6,0,IF(MAX(0,'Ayarlar'!$B$6-IF('Ayarlar'!$B$7&lt;=0,99,ROUNDUP(MAX('Proje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girdileri'!AD6/'Ayarlar'!$B$7,0))/(52/12),0)),3-1&lt;'Proje girdileri'!AH6),POWER(1-'Proje girdileri'!AT6,3-1),0)+IF(AND(2&gt;IF('Ayarlar'!$B$7&lt;=0,99,ROUNDUP(MAX('Proje girdileri'!AC6,ROUNDUP('Proje girdileri'!AD6/'Ayarlar'!$B$7,0))/(52/12),0)),3-2&lt;'Proje girdileri'!AH6),POWER(1-'Proje girdileri'!AT6,3-2),0)+IF(AND(3&gt;IF('Ayarlar'!$B$7&lt;=0,99,ROUNDUP(MAX('Proje girdileri'!AC6,ROUNDUP('Proje girdileri'!AD6/'Ayarlar'!$B$7,0))/(52/12),0)),3-3&lt;'Proje girdileri'!AH6),POWER(1-'Proje girdileri'!AT6,3-3),0)),IF(3&gt;IF('Ayarlar'!$B$7&lt;=0,99,ROUNDUP(MAX('Proje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E6" s="24" t="n">
        <x:f>IF(4&gt;'Ayarlar'!$B$6,0,IF(MAX(0,'Ayarlar'!$B$6-IF('Ayarlar'!$B$7&lt;=0,99,ROUNDUP(MAX('Proje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girdileri'!AD6/'Ayarlar'!$B$7,0))/(52/12),0)),4-1&lt;'Proje girdileri'!AH6),POWER(1-'Proje girdileri'!AT6,4-1),0)+IF(AND(2&gt;IF('Ayarlar'!$B$7&lt;=0,99,ROUNDUP(MAX('Proje girdileri'!AC6,ROUNDUP('Proje girdileri'!AD6/'Ayarlar'!$B$7,0))/(52/12),0)),4-2&lt;'Proje girdileri'!AH6),POWER(1-'Proje girdileri'!AT6,4-2),0)+IF(AND(3&gt;IF('Ayarlar'!$B$7&lt;=0,99,ROUNDUP(MAX('Proje girdileri'!AC6,ROUNDUP('Proje girdileri'!AD6/'Ayarlar'!$B$7,0))/(52/12),0)),4-3&lt;'Proje girdileri'!AH6),POWER(1-'Proje girdileri'!AT6,4-3),0)+IF(AND(4&gt;IF('Ayarlar'!$B$7&lt;=0,99,ROUNDUP(MAX('Proje girdileri'!AC6,ROUNDUP('Proje girdileri'!AD6/'Ayarlar'!$B$7,0))/(52/12),0)),4-4&lt;'Proje girdileri'!AH6),POWER(1-'Proje girdileri'!AT6,4-4),0)),IF(4&gt;IF('Ayarlar'!$B$7&lt;=0,99,ROUNDUP(MAX('Proje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F6" s="24" t="n">
        <x:f>IF(5&gt;'Ayarlar'!$B$6,0,IF(MAX(0,'Ayarlar'!$B$6-IF('Ayarlar'!$B$7&lt;=0,99,ROUNDUP(MAX('Proje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girdileri'!AD6/'Ayarlar'!$B$7,0))/(52/12),0)),5-1&lt;'Proje girdileri'!AH6),POWER(1-'Proje girdileri'!AT6,5-1),0)+IF(AND(2&gt;IF('Ayarlar'!$B$7&lt;=0,99,ROUNDUP(MAX('Proje girdileri'!AC6,ROUNDUP('Proje girdileri'!AD6/'Ayarlar'!$B$7,0))/(52/12),0)),5-2&lt;'Proje girdileri'!AH6),POWER(1-'Proje girdileri'!AT6,5-2),0)+IF(AND(3&gt;IF('Ayarlar'!$B$7&lt;=0,99,ROUNDUP(MAX('Proje girdileri'!AC6,ROUNDUP('Proje girdileri'!AD6/'Ayarlar'!$B$7,0))/(52/12),0)),5-3&lt;'Proje girdileri'!AH6),POWER(1-'Proje girdileri'!AT6,5-3),0)+IF(AND(4&gt;IF('Ayarlar'!$B$7&lt;=0,99,ROUNDUP(MAX('Proje girdileri'!AC6,ROUNDUP('Proje girdileri'!AD6/'Ayarlar'!$B$7,0))/(52/12),0)),5-4&lt;'Proje girdileri'!AH6),POWER(1-'Proje girdileri'!AT6,5-4),0)+IF(AND(5&gt;IF('Ayarlar'!$B$7&lt;=0,99,ROUNDUP(MAX('Proje girdileri'!AC6,ROUNDUP('Proje girdileri'!AD6/'Ayarlar'!$B$7,0))/(52/12),0)),5-5&lt;'Proje girdileri'!AH6),POWER(1-'Proje girdileri'!AT6,5-5),0)),IF(5&gt;IF('Ayarlar'!$B$7&lt;=0,99,ROUNDUP(MAX('Proje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G6" s="24" t="n">
        <x:f>IF(6&gt;'Ayarlar'!$B$6,0,IF(MAX(0,'Ayarlar'!$B$6-IF('Ayarlar'!$B$7&lt;=0,99,ROUNDUP(MAX('Proje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girdileri'!AD6/'Ayarlar'!$B$7,0))/(52/12),0)),6-1&lt;'Proje girdileri'!AH6),POWER(1-'Proje girdileri'!AT6,6-1),0)+IF(AND(2&gt;IF('Ayarlar'!$B$7&lt;=0,99,ROUNDUP(MAX('Proje girdileri'!AC6,ROUNDUP('Proje girdileri'!AD6/'Ayarlar'!$B$7,0))/(52/12),0)),6-2&lt;'Proje girdileri'!AH6),POWER(1-'Proje girdileri'!AT6,6-2),0)+IF(AND(3&gt;IF('Ayarlar'!$B$7&lt;=0,99,ROUNDUP(MAX('Proje girdileri'!AC6,ROUNDUP('Proje girdileri'!AD6/'Ayarlar'!$B$7,0))/(52/12),0)),6-3&lt;'Proje girdileri'!AH6),POWER(1-'Proje girdileri'!AT6,6-3),0)+IF(AND(4&gt;IF('Ayarlar'!$B$7&lt;=0,99,ROUNDUP(MAX('Proje girdileri'!AC6,ROUNDUP('Proje girdileri'!AD6/'Ayarlar'!$B$7,0))/(52/12),0)),6-4&lt;'Proje girdileri'!AH6),POWER(1-'Proje girdileri'!AT6,6-4),0)+IF(AND(5&gt;IF('Ayarlar'!$B$7&lt;=0,99,ROUNDUP(MAX('Proje girdileri'!AC6,ROUNDUP('Proje girdileri'!AD6/'Ayarlar'!$B$7,0))/(52/12),0)),6-5&lt;'Proje girdileri'!AH6),POWER(1-'Proje girdileri'!AT6,6-5),0)+IF(AND(6&gt;IF('Ayarlar'!$B$7&lt;=0,99,ROUNDUP(MAX('Proje girdileri'!AC6,ROUNDUP('Proje girdileri'!AD6/'Ayarlar'!$B$7,0))/(52/12),0)),6-6&lt;'Proje girdileri'!AH6),POWER(1-'Proje girdileri'!AT6,6-6),0)),IF(6&gt;IF('Ayarlar'!$B$7&lt;=0,99,ROUNDUP(MAX('Proje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H6" s="24" t="n">
        <x:f>IF(7&gt;'Ayarlar'!$B$6,0,IF(MAX(0,'Ayarlar'!$B$6-IF('Ayarlar'!$B$7&lt;=0,99,ROUNDUP(MAX('Proje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girdileri'!AD6/'Ayarlar'!$B$7,0))/(52/12),0)),7-1&lt;'Proje girdileri'!AH6),POWER(1-'Proje girdileri'!AT6,7-1),0)+IF(AND(2&gt;IF('Ayarlar'!$B$7&lt;=0,99,ROUNDUP(MAX('Proje girdileri'!AC6,ROUNDUP('Proje girdileri'!AD6/'Ayarlar'!$B$7,0))/(52/12),0)),7-2&lt;'Proje girdileri'!AH6),POWER(1-'Proje girdileri'!AT6,7-2),0)+IF(AND(3&gt;IF('Ayarlar'!$B$7&lt;=0,99,ROUNDUP(MAX('Proje girdileri'!AC6,ROUNDUP('Proje girdileri'!AD6/'Ayarlar'!$B$7,0))/(52/12),0)),7-3&lt;'Proje girdileri'!AH6),POWER(1-'Proje girdileri'!AT6,7-3),0)+IF(AND(4&gt;IF('Ayarlar'!$B$7&lt;=0,99,ROUNDUP(MAX('Proje girdileri'!AC6,ROUNDUP('Proje girdileri'!AD6/'Ayarlar'!$B$7,0))/(52/12),0)),7-4&lt;'Proje girdileri'!AH6),POWER(1-'Proje girdileri'!AT6,7-4),0)+IF(AND(5&gt;IF('Ayarlar'!$B$7&lt;=0,99,ROUNDUP(MAX('Proje girdileri'!AC6,ROUNDUP('Proje girdileri'!AD6/'Ayarlar'!$B$7,0))/(52/12),0)),7-5&lt;'Proje girdileri'!AH6),POWER(1-'Proje girdileri'!AT6,7-5),0)+IF(AND(6&gt;IF('Ayarlar'!$B$7&lt;=0,99,ROUNDUP(MAX('Proje girdileri'!AC6,ROUNDUP('Proje girdileri'!AD6/'Ayarlar'!$B$7,0))/(52/12),0)),7-6&lt;'Proje girdileri'!AH6),POWER(1-'Proje girdileri'!AT6,7-6),0)+IF(AND(7&gt;IF('Ayarlar'!$B$7&lt;=0,99,ROUNDUP(MAX('Proje girdileri'!AC6,ROUNDUP('Proje girdileri'!AD6/'Ayarlar'!$B$7,0))/(52/12),0)),7-7&lt;'Proje girdileri'!AH6),POWER(1-'Proje girdileri'!AT6,7-7),0)),IF(7&gt;IF('Ayarlar'!$B$7&lt;=0,99,ROUNDUP(MAX('Proje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I6" s="24" t="n">
        <x:f>IF(8&gt;'Ayarlar'!$B$6,0,IF(MAX(0,'Ayarlar'!$B$6-IF('Ayarlar'!$B$7&lt;=0,99,ROUNDUP(MAX('Proje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girdileri'!AD6/'Ayarlar'!$B$7,0))/(52/12),0)),8-1&lt;'Proje girdileri'!AH6),POWER(1-'Proje girdileri'!AT6,8-1),0)+IF(AND(2&gt;IF('Ayarlar'!$B$7&lt;=0,99,ROUNDUP(MAX('Proje girdileri'!AC6,ROUNDUP('Proje girdileri'!AD6/'Ayarlar'!$B$7,0))/(52/12),0)),8-2&lt;'Proje girdileri'!AH6),POWER(1-'Proje girdileri'!AT6,8-2),0)+IF(AND(3&gt;IF('Ayarlar'!$B$7&lt;=0,99,ROUNDUP(MAX('Proje girdileri'!AC6,ROUNDUP('Proje girdileri'!AD6/'Ayarlar'!$B$7,0))/(52/12),0)),8-3&lt;'Proje girdileri'!AH6),POWER(1-'Proje girdileri'!AT6,8-3),0)+IF(AND(4&gt;IF('Ayarlar'!$B$7&lt;=0,99,ROUNDUP(MAX('Proje girdileri'!AC6,ROUNDUP('Proje girdileri'!AD6/'Ayarlar'!$B$7,0))/(52/12),0)),8-4&lt;'Proje girdileri'!AH6),POWER(1-'Proje girdileri'!AT6,8-4),0)+IF(AND(5&gt;IF('Ayarlar'!$B$7&lt;=0,99,ROUNDUP(MAX('Proje girdileri'!AC6,ROUNDUP('Proje girdileri'!AD6/'Ayarlar'!$B$7,0))/(52/12),0)),8-5&lt;'Proje girdileri'!AH6),POWER(1-'Proje girdileri'!AT6,8-5),0)+IF(AND(6&gt;IF('Ayarlar'!$B$7&lt;=0,99,ROUNDUP(MAX('Proje girdileri'!AC6,ROUNDUP('Proje girdileri'!AD6/'Ayarlar'!$B$7,0))/(52/12),0)),8-6&lt;'Proje girdileri'!AH6),POWER(1-'Proje girdileri'!AT6,8-6),0)+IF(AND(7&gt;IF('Ayarlar'!$B$7&lt;=0,99,ROUNDUP(MAX('Proje girdileri'!AC6,ROUNDUP('Proje girdileri'!AD6/'Ayarlar'!$B$7,0))/(52/12),0)),8-7&lt;'Proje girdileri'!AH6),POWER(1-'Proje girdileri'!AT6,8-7),0)+IF(AND(8&gt;IF('Ayarlar'!$B$7&lt;=0,99,ROUNDUP(MAX('Proje girdileri'!AC6,ROUNDUP('Proje girdileri'!AD6/'Ayarlar'!$B$7,0))/(52/12),0)),8-8&lt;'Proje girdileri'!AH6),POWER(1-'Proje girdileri'!AT6,8-8),0)),IF(8&gt;IF('Ayarlar'!$B$7&lt;=0,99,ROUNDUP(MAX('Proje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J6" s="24" t="n">
        <x:f>IF(9&gt;'Ayarlar'!$B$6,0,IF(MAX(0,'Ayarlar'!$B$6-IF('Ayarlar'!$B$7&lt;=0,99,ROUNDUP(MAX('Proje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girdileri'!AD6/'Ayarlar'!$B$7,0))/(52/12),0)),9-1&lt;'Proje girdileri'!AH6),POWER(1-'Proje girdileri'!AT6,9-1),0)+IF(AND(2&gt;IF('Ayarlar'!$B$7&lt;=0,99,ROUNDUP(MAX('Proje girdileri'!AC6,ROUNDUP('Proje girdileri'!AD6/'Ayarlar'!$B$7,0))/(52/12),0)),9-2&lt;'Proje girdileri'!AH6),POWER(1-'Proje girdileri'!AT6,9-2),0)+IF(AND(3&gt;IF('Ayarlar'!$B$7&lt;=0,99,ROUNDUP(MAX('Proje girdileri'!AC6,ROUNDUP('Proje girdileri'!AD6/'Ayarlar'!$B$7,0))/(52/12),0)),9-3&lt;'Proje girdileri'!AH6),POWER(1-'Proje girdileri'!AT6,9-3),0)+IF(AND(4&gt;IF('Ayarlar'!$B$7&lt;=0,99,ROUNDUP(MAX('Proje girdileri'!AC6,ROUNDUP('Proje girdileri'!AD6/'Ayarlar'!$B$7,0))/(52/12),0)),9-4&lt;'Proje girdileri'!AH6),POWER(1-'Proje girdileri'!AT6,9-4),0)+IF(AND(5&gt;IF('Ayarlar'!$B$7&lt;=0,99,ROUNDUP(MAX('Proje girdileri'!AC6,ROUNDUP('Proje girdileri'!AD6/'Ayarlar'!$B$7,0))/(52/12),0)),9-5&lt;'Proje girdileri'!AH6),POWER(1-'Proje girdileri'!AT6,9-5),0)+IF(AND(6&gt;IF('Ayarlar'!$B$7&lt;=0,99,ROUNDUP(MAX('Proje girdileri'!AC6,ROUNDUP('Proje girdileri'!AD6/'Ayarlar'!$B$7,0))/(52/12),0)),9-6&lt;'Proje girdileri'!AH6),POWER(1-'Proje girdileri'!AT6,9-6),0)+IF(AND(7&gt;IF('Ayarlar'!$B$7&lt;=0,99,ROUNDUP(MAX('Proje girdileri'!AC6,ROUNDUP('Proje girdileri'!AD6/'Ayarlar'!$B$7,0))/(52/12),0)),9-7&lt;'Proje girdileri'!AH6),POWER(1-'Proje girdileri'!AT6,9-7),0)+IF(AND(8&gt;IF('Ayarlar'!$B$7&lt;=0,99,ROUNDUP(MAX('Proje girdileri'!AC6,ROUNDUP('Proje girdileri'!AD6/'Ayarlar'!$B$7,0))/(52/12),0)),9-8&lt;'Proje girdileri'!AH6),POWER(1-'Proje girdileri'!AT6,9-8),0)+IF(AND(9&gt;IF('Ayarlar'!$B$7&lt;=0,99,ROUNDUP(MAX('Proje girdileri'!AC6,ROUNDUP('Proje girdileri'!AD6/'Ayarlar'!$B$7,0))/(52/12),0)),9-9&lt;'Proje girdileri'!AH6),POWER(1-'Proje girdileri'!AT6,9-9),0)),IF(9&gt;IF('Ayarlar'!$B$7&lt;=0,99,ROUNDUP(MAX('Proje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K6" s="24" t="n">
        <x:f>IF(10&gt;'Ayarlar'!$B$6,0,IF(MAX(0,'Ayarlar'!$B$6-IF('Ayarlar'!$B$7&lt;=0,99,ROUNDUP(MAX('Proje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girdileri'!AD6/'Ayarlar'!$B$7,0))/(52/12),0)),10-1&lt;'Proje girdileri'!AH6),POWER(1-'Proje girdileri'!AT6,10-1),0)+IF(AND(2&gt;IF('Ayarlar'!$B$7&lt;=0,99,ROUNDUP(MAX('Proje girdileri'!AC6,ROUNDUP('Proje girdileri'!AD6/'Ayarlar'!$B$7,0))/(52/12),0)),10-2&lt;'Proje girdileri'!AH6),POWER(1-'Proje girdileri'!AT6,10-2),0)+IF(AND(3&gt;IF('Ayarlar'!$B$7&lt;=0,99,ROUNDUP(MAX('Proje girdileri'!AC6,ROUNDUP('Proje girdileri'!AD6/'Ayarlar'!$B$7,0))/(52/12),0)),10-3&lt;'Proje girdileri'!AH6),POWER(1-'Proje girdileri'!AT6,10-3),0)+IF(AND(4&gt;IF('Ayarlar'!$B$7&lt;=0,99,ROUNDUP(MAX('Proje girdileri'!AC6,ROUNDUP('Proje girdileri'!AD6/'Ayarlar'!$B$7,0))/(52/12),0)),10-4&lt;'Proje girdileri'!AH6),POWER(1-'Proje girdileri'!AT6,10-4),0)+IF(AND(5&gt;IF('Ayarlar'!$B$7&lt;=0,99,ROUNDUP(MAX('Proje girdileri'!AC6,ROUNDUP('Proje girdileri'!AD6/'Ayarlar'!$B$7,0))/(52/12),0)),10-5&lt;'Proje girdileri'!AH6),POWER(1-'Proje girdileri'!AT6,10-5),0)+IF(AND(6&gt;IF('Ayarlar'!$B$7&lt;=0,99,ROUNDUP(MAX('Proje girdileri'!AC6,ROUNDUP('Proje girdileri'!AD6/'Ayarlar'!$B$7,0))/(52/12),0)),10-6&lt;'Proje girdileri'!AH6),POWER(1-'Proje girdileri'!AT6,10-6),0)+IF(AND(7&gt;IF('Ayarlar'!$B$7&lt;=0,99,ROUNDUP(MAX('Proje girdileri'!AC6,ROUNDUP('Proje girdileri'!AD6/'Ayarlar'!$B$7,0))/(52/12),0)),10-7&lt;'Proje girdileri'!AH6),POWER(1-'Proje girdileri'!AT6,10-7),0)+IF(AND(8&gt;IF('Ayarlar'!$B$7&lt;=0,99,ROUNDUP(MAX('Proje girdileri'!AC6,ROUNDUP('Proje girdileri'!AD6/'Ayarlar'!$B$7,0))/(52/12),0)),10-8&lt;'Proje girdileri'!AH6),POWER(1-'Proje girdileri'!AT6,10-8),0)+IF(AND(9&gt;IF('Ayarlar'!$B$7&lt;=0,99,ROUNDUP(MAX('Proje girdileri'!AC6,ROUNDUP('Proje girdileri'!AD6/'Ayarlar'!$B$7,0))/(52/12),0)),10-9&lt;'Proje girdileri'!AH6),POWER(1-'Proje girdileri'!AT6,10-9),0)+IF(AND(10&gt;IF('Ayarlar'!$B$7&lt;=0,99,ROUNDUP(MAX('Proje girdileri'!AC6,ROUNDUP('Proje girdileri'!AD6/'Ayarlar'!$B$7,0))/(52/12),0)),10-10&lt;'Proje girdileri'!AH6),POWER(1-'Proje girdileri'!AT6,10-10),0)),IF(10&gt;IF('Ayarlar'!$B$7&lt;=0,99,ROUNDUP(MAX('Proje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L6" s="24" t="n">
        <x:f>IF(11&gt;'Ayarlar'!$B$6,0,IF(MAX(0,'Ayarlar'!$B$6-IF('Ayarlar'!$B$7&lt;=0,99,ROUNDUP(MAX('Proje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girdileri'!AD6/'Ayarlar'!$B$7,0))/(52/12),0)),11-1&lt;'Proje girdileri'!AH6),POWER(1-'Proje girdileri'!AT6,11-1),0)+IF(AND(2&gt;IF('Ayarlar'!$B$7&lt;=0,99,ROUNDUP(MAX('Proje girdileri'!AC6,ROUNDUP('Proje girdileri'!AD6/'Ayarlar'!$B$7,0))/(52/12),0)),11-2&lt;'Proje girdileri'!AH6),POWER(1-'Proje girdileri'!AT6,11-2),0)+IF(AND(3&gt;IF('Ayarlar'!$B$7&lt;=0,99,ROUNDUP(MAX('Proje girdileri'!AC6,ROUNDUP('Proje girdileri'!AD6/'Ayarlar'!$B$7,0))/(52/12),0)),11-3&lt;'Proje girdileri'!AH6),POWER(1-'Proje girdileri'!AT6,11-3),0)+IF(AND(4&gt;IF('Ayarlar'!$B$7&lt;=0,99,ROUNDUP(MAX('Proje girdileri'!AC6,ROUNDUP('Proje girdileri'!AD6/'Ayarlar'!$B$7,0))/(52/12),0)),11-4&lt;'Proje girdileri'!AH6),POWER(1-'Proje girdileri'!AT6,11-4),0)+IF(AND(5&gt;IF('Ayarlar'!$B$7&lt;=0,99,ROUNDUP(MAX('Proje girdileri'!AC6,ROUNDUP('Proje girdileri'!AD6/'Ayarlar'!$B$7,0))/(52/12),0)),11-5&lt;'Proje girdileri'!AH6),POWER(1-'Proje girdileri'!AT6,11-5),0)+IF(AND(6&gt;IF('Ayarlar'!$B$7&lt;=0,99,ROUNDUP(MAX('Proje girdileri'!AC6,ROUNDUP('Proje girdileri'!AD6/'Ayarlar'!$B$7,0))/(52/12),0)),11-6&lt;'Proje girdileri'!AH6),POWER(1-'Proje girdileri'!AT6,11-6),0)+IF(AND(7&gt;IF('Ayarlar'!$B$7&lt;=0,99,ROUNDUP(MAX('Proje girdileri'!AC6,ROUNDUP('Proje girdileri'!AD6/'Ayarlar'!$B$7,0))/(52/12),0)),11-7&lt;'Proje girdileri'!AH6),POWER(1-'Proje girdileri'!AT6,11-7),0)+IF(AND(8&gt;IF('Ayarlar'!$B$7&lt;=0,99,ROUNDUP(MAX('Proje girdileri'!AC6,ROUNDUP('Proje girdileri'!AD6/'Ayarlar'!$B$7,0))/(52/12),0)),11-8&lt;'Proje girdileri'!AH6),POWER(1-'Proje girdileri'!AT6,11-8),0)+IF(AND(9&gt;IF('Ayarlar'!$B$7&lt;=0,99,ROUNDUP(MAX('Proje girdileri'!AC6,ROUNDUP('Proje girdileri'!AD6/'Ayarlar'!$B$7,0))/(52/12),0)),11-9&lt;'Proje girdileri'!AH6),POWER(1-'Proje girdileri'!AT6,11-9),0)+IF(AND(10&gt;IF('Ayarlar'!$B$7&lt;=0,99,ROUNDUP(MAX('Proje girdileri'!AC6,ROUNDUP('Proje girdileri'!AD6/'Ayarlar'!$B$7,0))/(52/12),0)),11-10&lt;'Proje girdileri'!AH6),POWER(1-'Proje girdileri'!AT6,11-10),0)+IF(AND(11&gt;IF('Ayarlar'!$B$7&lt;=0,99,ROUNDUP(MAX('Proje girdileri'!AC6,ROUNDUP('Proje girdileri'!AD6/'Ayarlar'!$B$7,0))/(52/12),0)),11-11&lt;'Proje girdileri'!AH6),POWER(1-'Proje girdileri'!AT6,11-11),0)),IF(11&gt;IF('Ayarlar'!$B$7&lt;=0,99,ROUNDUP(MAX('Proje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M6" s="24" t="n">
        <x:f>IF(12&gt;'Ayarlar'!$B$6,0,IF(MAX(0,'Ayarlar'!$B$6-IF('Ayarlar'!$B$7&lt;=0,99,ROUNDUP(MAX('Proje girdileri'!AC6,ROUNDUP('Proje girdileri'!AD6/'Ayarlar'!$B$7,0))/(52/12),0)))=0,0,'Hesap'!I6/MAX(0,'Ayarlar'!$B$6-IF('Ayarlar'!$B$7&lt;=0,99,ROUNDUP(MAX('Proje girdileri'!AC6,ROUNDUP('Proje girdileri'!AD6/'Ayarlar'!$B$7,0))/(52/12),0)))*IF('Proje girdileri'!C6="recurring",(IF(AND(1&gt;IF('Ayarlar'!$B$7&lt;=0,99,ROUNDUP(MAX('Proje girdileri'!AC6,ROUNDUP('Proje girdileri'!AD6/'Ayarlar'!$B$7,0))/(52/12),0)),12-1&lt;'Proje girdileri'!AH6),POWER(1-'Proje girdileri'!AT6,12-1),0)+IF(AND(2&gt;IF('Ayarlar'!$B$7&lt;=0,99,ROUNDUP(MAX('Proje girdileri'!AC6,ROUNDUP('Proje girdileri'!AD6/'Ayarlar'!$B$7,0))/(52/12),0)),12-2&lt;'Proje girdileri'!AH6),POWER(1-'Proje girdileri'!AT6,12-2),0)+IF(AND(3&gt;IF('Ayarlar'!$B$7&lt;=0,99,ROUNDUP(MAX('Proje girdileri'!AC6,ROUNDUP('Proje girdileri'!AD6/'Ayarlar'!$B$7,0))/(52/12),0)),12-3&lt;'Proje girdileri'!AH6),POWER(1-'Proje girdileri'!AT6,12-3),0)+IF(AND(4&gt;IF('Ayarlar'!$B$7&lt;=0,99,ROUNDUP(MAX('Proje girdileri'!AC6,ROUNDUP('Proje girdileri'!AD6/'Ayarlar'!$B$7,0))/(52/12),0)),12-4&lt;'Proje girdileri'!AH6),POWER(1-'Proje girdileri'!AT6,12-4),0)+IF(AND(5&gt;IF('Ayarlar'!$B$7&lt;=0,99,ROUNDUP(MAX('Proje girdileri'!AC6,ROUNDUP('Proje girdileri'!AD6/'Ayarlar'!$B$7,0))/(52/12),0)),12-5&lt;'Proje girdileri'!AH6),POWER(1-'Proje girdileri'!AT6,12-5),0)+IF(AND(6&gt;IF('Ayarlar'!$B$7&lt;=0,99,ROUNDUP(MAX('Proje girdileri'!AC6,ROUNDUP('Proje girdileri'!AD6/'Ayarlar'!$B$7,0))/(52/12),0)),12-6&lt;'Proje girdileri'!AH6),POWER(1-'Proje girdileri'!AT6,12-6),0)+IF(AND(7&gt;IF('Ayarlar'!$B$7&lt;=0,99,ROUNDUP(MAX('Proje girdileri'!AC6,ROUNDUP('Proje girdileri'!AD6/'Ayarlar'!$B$7,0))/(52/12),0)),12-7&lt;'Proje girdileri'!AH6),POWER(1-'Proje girdileri'!AT6,12-7),0)+IF(AND(8&gt;IF('Ayarlar'!$B$7&lt;=0,99,ROUNDUP(MAX('Proje girdileri'!AC6,ROUNDUP('Proje girdileri'!AD6/'Ayarlar'!$B$7,0))/(52/12),0)),12-8&lt;'Proje girdileri'!AH6),POWER(1-'Proje girdileri'!AT6,12-8),0)+IF(AND(9&gt;IF('Ayarlar'!$B$7&lt;=0,99,ROUNDUP(MAX('Proje girdileri'!AC6,ROUNDUP('Proje girdileri'!AD6/'Ayarlar'!$B$7,0))/(52/12),0)),12-9&lt;'Proje girdileri'!AH6),POWER(1-'Proje girdileri'!AT6,12-9),0)+IF(AND(10&gt;IF('Ayarlar'!$B$7&lt;=0,99,ROUNDUP(MAX('Proje girdileri'!AC6,ROUNDUP('Proje girdileri'!AD6/'Ayarlar'!$B$7,0))/(52/12),0)),12-10&lt;'Proje girdileri'!AH6),POWER(1-'Proje girdileri'!AT6,12-10),0)+IF(AND(11&gt;IF('Ayarlar'!$B$7&lt;=0,99,ROUNDUP(MAX('Proje girdileri'!AC6,ROUNDUP('Proje girdileri'!AD6/'Ayarlar'!$B$7,0))/(52/12),0)),12-11&lt;'Proje girdileri'!AH6),POWER(1-'Proje girdileri'!AT6,12-11),0)+IF(AND(12&gt;IF('Ayarlar'!$B$7&lt;=0,99,ROUNDUP(MAX('Proje girdileri'!AC6,ROUNDUP('Proje girdileri'!AD6/'Ayarlar'!$B$7,0))/(52/12),0)),12-12&lt;'Proje girdileri'!AH6),POWER(1-'Proje girdileri'!AT6,12-12),0)),IF(12&gt;IF('Ayarlar'!$B$7&lt;=0,99,ROUNDUP(MAX('Proje girdileri'!AC6,ROUNDUP('Proje girdileri'!AD6/'Ayarlar'!$B$7,0))/(52/12),0)),1,0))*('Proje girdileri'!Y6*(1-'Proje girdileri'!AA6-'Proje girdileri'!AB6)-'Proje girdileri'!Z6))-'Proje girdileri'!AJ6)</x:f>
        <x:v>0</x:v>
      </x:c>
      <x:c r="N6" s="24" t="n">
        <x:f>SUM(B6:M6)</x:f>
        <x:v>0</x:v>
      </x:c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</x:row>
    <x:row r="7" ht="24" customHeight="1">
      <x:c r="A7" s="2" t="str">
        <x:f>'Hesap'!B7</x:f>
        <x:v>AI First EA</x:v>
      </x:c>
      <x:c r="B7" s="24" t="n">
        <x:f>IF(1&gt;'Ayarlar'!$B$6,0,IF(MAX(0,'Ayarlar'!$B$6-IF('Ayarlar'!$B$7&lt;=0,99,ROUNDUP(MAX('Proje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girdileri'!AD7/'Ayarlar'!$B$7,0))/(52/12),0)),1-1&lt;'Proje girdileri'!AH7),POWER(1-'Proje girdileri'!AT7,1-1),0)),IF(1&gt;IF('Ayarlar'!$B$7&lt;=0,99,ROUNDUP(MAX('Proje girdileri'!AC7,ROUNDUP('Proje girdileri'!AD7/'Ayarlar'!$B$7,0))/(52/12),0)),1,0))*('Proje girdileri'!Y7*(1-'Proje girdileri'!AA7-'Proje girdileri'!AB7)-'Proje girdileri'!Z7))-'Proje girdileri'!AJ7-'Proje girdileri'!AI7)</x:f>
        <x:v>-165</x:v>
      </x:c>
      <x:c r="C7" s="24" t="n">
        <x:f>IF(2&gt;'Ayarlar'!$B$6,0,IF(MAX(0,'Ayarlar'!$B$6-IF('Ayarlar'!$B$7&lt;=0,99,ROUNDUP(MAX('Proje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girdileri'!AD7/'Ayarlar'!$B$7,0))/(52/12),0)),2-1&lt;'Proje girdileri'!AH7),POWER(1-'Proje girdileri'!AT7,2-1),0)+IF(AND(2&gt;IF('Ayarlar'!$B$7&lt;=0,99,ROUNDUP(MAX('Proje girdileri'!AC7,ROUNDUP('Proje girdileri'!AD7/'Ayarlar'!$B$7,0))/(52/12),0)),2-2&lt;'Proje girdileri'!AH7),POWER(1-'Proje girdileri'!AT7,2-2),0)),IF(2&gt;IF('Ayarlar'!$B$7&lt;=0,99,ROUNDUP(MAX('Proje girdileri'!AC7,ROUNDUP('Proje girdileri'!AD7/'Ayarlar'!$B$7,0))/(52/12),0)),1,0))*('Proje girdileri'!Y7*(1-'Proje girdileri'!AA7-'Proje girdileri'!AB7)-'Proje girdileri'!Z7))-'Proje girdileri'!AJ7)</x:f>
        <x:v>376.2</x:v>
      </x:c>
      <x:c r="D7" s="24" t="n">
        <x:f>IF(3&gt;'Ayarlar'!$B$6,0,IF(MAX(0,'Ayarlar'!$B$6-IF('Ayarlar'!$B$7&lt;=0,99,ROUNDUP(MAX('Proje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girdileri'!AD7/'Ayarlar'!$B$7,0))/(52/12),0)),3-1&lt;'Proje girdileri'!AH7),POWER(1-'Proje girdileri'!AT7,3-1),0)+IF(AND(2&gt;IF('Ayarlar'!$B$7&lt;=0,99,ROUNDUP(MAX('Proje girdileri'!AC7,ROUNDUP('Proje girdileri'!AD7/'Ayarlar'!$B$7,0))/(52/12),0)),3-2&lt;'Proje girdileri'!AH7),POWER(1-'Proje girdileri'!AT7,3-2),0)+IF(AND(3&gt;IF('Ayarlar'!$B$7&lt;=0,99,ROUNDUP(MAX('Proje girdileri'!AC7,ROUNDUP('Proje girdileri'!AD7/'Ayarlar'!$B$7,0))/(52/12),0)),3-3&lt;'Proje girdileri'!AH7),POWER(1-'Proje girdileri'!AT7,3-3),0)),IF(3&gt;IF('Ayarlar'!$B$7&lt;=0,99,ROUNDUP(MAX('Proje girdileri'!AC7,ROUNDUP('Proje girdileri'!AD7/'Ayarlar'!$B$7,0))/(52/12),0)),1,0))*('Proje girdileri'!Y7*(1-'Proje girdileri'!AA7-'Proje girdileri'!AB7)-'Proje girdileri'!Z7))-'Proje girdileri'!AJ7)</x:f>
        <x:v>376.2</x:v>
      </x:c>
      <x:c r="E7" s="24" t="n">
        <x:f>IF(4&gt;'Ayarlar'!$B$6,0,IF(MAX(0,'Ayarlar'!$B$6-IF('Ayarlar'!$B$7&lt;=0,99,ROUNDUP(MAX('Proje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girdileri'!AD7/'Ayarlar'!$B$7,0))/(52/12),0)),4-1&lt;'Proje girdileri'!AH7),POWER(1-'Proje girdileri'!AT7,4-1),0)+IF(AND(2&gt;IF('Ayarlar'!$B$7&lt;=0,99,ROUNDUP(MAX('Proje girdileri'!AC7,ROUNDUP('Proje girdileri'!AD7/'Ayarlar'!$B$7,0))/(52/12),0)),4-2&lt;'Proje girdileri'!AH7),POWER(1-'Proje girdileri'!AT7,4-2),0)+IF(AND(3&gt;IF('Ayarlar'!$B$7&lt;=0,99,ROUNDUP(MAX('Proje girdileri'!AC7,ROUNDUP('Proje girdileri'!AD7/'Ayarlar'!$B$7,0))/(52/12),0)),4-3&lt;'Proje girdileri'!AH7),POWER(1-'Proje girdileri'!AT7,4-3),0)+IF(AND(4&gt;IF('Ayarlar'!$B$7&lt;=0,99,ROUNDUP(MAX('Proje girdileri'!AC7,ROUNDUP('Proje girdileri'!AD7/'Ayarlar'!$B$7,0))/(52/12),0)),4-4&lt;'Proje girdileri'!AH7),POWER(1-'Proje girdileri'!AT7,4-4),0)),IF(4&gt;IF('Ayarlar'!$B$7&lt;=0,99,ROUNDUP(MAX('Proje girdileri'!AC7,ROUNDUP('Proje girdileri'!AD7/'Ayarlar'!$B$7,0))/(52/12),0)),1,0))*('Proje girdileri'!Y7*(1-'Proje girdileri'!AA7-'Proje girdileri'!AB7)-'Proje girdileri'!Z7))-'Proje girdileri'!AJ7)</x:f>
        <x:v>376.2</x:v>
      </x:c>
      <x:c r="F7" s="24" t="n">
        <x:f>IF(5&gt;'Ayarlar'!$B$6,0,IF(MAX(0,'Ayarlar'!$B$6-IF('Ayarlar'!$B$7&lt;=0,99,ROUNDUP(MAX('Proje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girdileri'!AD7/'Ayarlar'!$B$7,0))/(52/12),0)),5-1&lt;'Proje girdileri'!AH7),POWER(1-'Proje girdileri'!AT7,5-1),0)+IF(AND(2&gt;IF('Ayarlar'!$B$7&lt;=0,99,ROUNDUP(MAX('Proje girdileri'!AC7,ROUNDUP('Proje girdileri'!AD7/'Ayarlar'!$B$7,0))/(52/12),0)),5-2&lt;'Proje girdileri'!AH7),POWER(1-'Proje girdileri'!AT7,5-2),0)+IF(AND(3&gt;IF('Ayarlar'!$B$7&lt;=0,99,ROUNDUP(MAX('Proje girdileri'!AC7,ROUNDUP('Proje girdileri'!AD7/'Ayarlar'!$B$7,0))/(52/12),0)),5-3&lt;'Proje girdileri'!AH7),POWER(1-'Proje girdileri'!AT7,5-3),0)+IF(AND(4&gt;IF('Ayarlar'!$B$7&lt;=0,99,ROUNDUP(MAX('Proje girdileri'!AC7,ROUNDUP('Proje girdileri'!AD7/'Ayarlar'!$B$7,0))/(52/12),0)),5-4&lt;'Proje girdileri'!AH7),POWER(1-'Proje girdileri'!AT7,5-4),0)+IF(AND(5&gt;IF('Ayarlar'!$B$7&lt;=0,99,ROUNDUP(MAX('Proje girdileri'!AC7,ROUNDUP('Proje girdileri'!AD7/'Ayarlar'!$B$7,0))/(52/12),0)),5-5&lt;'Proje girdileri'!AH7),POWER(1-'Proje girdileri'!AT7,5-5),0)),IF(5&gt;IF('Ayarlar'!$B$7&lt;=0,99,ROUNDUP(MAX('Proje girdileri'!AC7,ROUNDUP('Proje girdileri'!AD7/'Ayarlar'!$B$7,0))/(52/12),0)),1,0))*('Proje girdileri'!Y7*(1-'Proje girdileri'!AA7-'Proje girdileri'!AB7)-'Proje girdileri'!Z7))-'Proje girdileri'!AJ7)</x:f>
        <x:v>376.2</x:v>
      </x:c>
      <x:c r="G7" s="24" t="n">
        <x:f>IF(6&gt;'Ayarlar'!$B$6,0,IF(MAX(0,'Ayarlar'!$B$6-IF('Ayarlar'!$B$7&lt;=0,99,ROUNDUP(MAX('Proje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girdileri'!AD7/'Ayarlar'!$B$7,0))/(52/12),0)),6-1&lt;'Proje girdileri'!AH7),POWER(1-'Proje girdileri'!AT7,6-1),0)+IF(AND(2&gt;IF('Ayarlar'!$B$7&lt;=0,99,ROUNDUP(MAX('Proje girdileri'!AC7,ROUNDUP('Proje girdileri'!AD7/'Ayarlar'!$B$7,0))/(52/12),0)),6-2&lt;'Proje girdileri'!AH7),POWER(1-'Proje girdileri'!AT7,6-2),0)+IF(AND(3&gt;IF('Ayarlar'!$B$7&lt;=0,99,ROUNDUP(MAX('Proje girdileri'!AC7,ROUNDUP('Proje girdileri'!AD7/'Ayarlar'!$B$7,0))/(52/12),0)),6-3&lt;'Proje girdileri'!AH7),POWER(1-'Proje girdileri'!AT7,6-3),0)+IF(AND(4&gt;IF('Ayarlar'!$B$7&lt;=0,99,ROUNDUP(MAX('Proje girdileri'!AC7,ROUNDUP('Proje girdileri'!AD7/'Ayarlar'!$B$7,0))/(52/12),0)),6-4&lt;'Proje girdileri'!AH7),POWER(1-'Proje girdileri'!AT7,6-4),0)+IF(AND(5&gt;IF('Ayarlar'!$B$7&lt;=0,99,ROUNDUP(MAX('Proje girdileri'!AC7,ROUNDUP('Proje girdileri'!AD7/'Ayarlar'!$B$7,0))/(52/12),0)),6-5&lt;'Proje girdileri'!AH7),POWER(1-'Proje girdileri'!AT7,6-5),0)+IF(AND(6&gt;IF('Ayarlar'!$B$7&lt;=0,99,ROUNDUP(MAX('Proje girdileri'!AC7,ROUNDUP('Proje girdileri'!AD7/'Ayarlar'!$B$7,0))/(52/12),0)),6-6&lt;'Proje girdileri'!AH7),POWER(1-'Proje girdileri'!AT7,6-6),0)),IF(6&gt;IF('Ayarlar'!$B$7&lt;=0,99,ROUNDUP(MAX('Proje girdileri'!AC7,ROUNDUP('Proje girdileri'!AD7/'Ayarlar'!$B$7,0))/(52/12),0)),1,0))*('Proje girdileri'!Y7*(1-'Proje girdileri'!AA7-'Proje girdileri'!AB7)-'Proje girdileri'!Z7))-'Proje girdileri'!AJ7)</x:f>
        <x:v>376.2</x:v>
      </x:c>
      <x:c r="H7" s="24" t="n">
        <x:f>IF(7&gt;'Ayarlar'!$B$6,0,IF(MAX(0,'Ayarlar'!$B$6-IF('Ayarlar'!$B$7&lt;=0,99,ROUNDUP(MAX('Proje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girdileri'!AD7/'Ayarlar'!$B$7,0))/(52/12),0)),7-1&lt;'Proje girdileri'!AH7),POWER(1-'Proje girdileri'!AT7,7-1),0)+IF(AND(2&gt;IF('Ayarlar'!$B$7&lt;=0,99,ROUNDUP(MAX('Proje girdileri'!AC7,ROUNDUP('Proje girdileri'!AD7/'Ayarlar'!$B$7,0))/(52/12),0)),7-2&lt;'Proje girdileri'!AH7),POWER(1-'Proje girdileri'!AT7,7-2),0)+IF(AND(3&gt;IF('Ayarlar'!$B$7&lt;=0,99,ROUNDUP(MAX('Proje girdileri'!AC7,ROUNDUP('Proje girdileri'!AD7/'Ayarlar'!$B$7,0))/(52/12),0)),7-3&lt;'Proje girdileri'!AH7),POWER(1-'Proje girdileri'!AT7,7-3),0)+IF(AND(4&gt;IF('Ayarlar'!$B$7&lt;=0,99,ROUNDUP(MAX('Proje girdileri'!AC7,ROUNDUP('Proje girdileri'!AD7/'Ayarlar'!$B$7,0))/(52/12),0)),7-4&lt;'Proje girdileri'!AH7),POWER(1-'Proje girdileri'!AT7,7-4),0)+IF(AND(5&gt;IF('Ayarlar'!$B$7&lt;=0,99,ROUNDUP(MAX('Proje girdileri'!AC7,ROUNDUP('Proje girdileri'!AD7/'Ayarlar'!$B$7,0))/(52/12),0)),7-5&lt;'Proje girdileri'!AH7),POWER(1-'Proje girdileri'!AT7,7-5),0)+IF(AND(6&gt;IF('Ayarlar'!$B$7&lt;=0,99,ROUNDUP(MAX('Proje girdileri'!AC7,ROUNDUP('Proje girdileri'!AD7/'Ayarlar'!$B$7,0))/(52/12),0)),7-6&lt;'Proje girdileri'!AH7),POWER(1-'Proje girdileri'!AT7,7-6),0)+IF(AND(7&gt;IF('Ayarlar'!$B$7&lt;=0,99,ROUNDUP(MAX('Proje girdileri'!AC7,ROUNDUP('Proje girdileri'!AD7/'Ayarlar'!$B$7,0))/(52/12),0)),7-7&lt;'Proje girdileri'!AH7),POWER(1-'Proje girdileri'!AT7,7-7),0)),IF(7&gt;IF('Ayarlar'!$B$7&lt;=0,99,ROUNDUP(MAX('Proje girdileri'!AC7,ROUNDUP('Proje girdileri'!AD7/'Ayarlar'!$B$7,0))/(52/12),0)),1,0))*('Proje girdileri'!Y7*(1-'Proje girdileri'!AA7-'Proje girdileri'!AB7)-'Proje girdileri'!Z7))-'Proje girdileri'!AJ7)</x:f>
        <x:v>0</x:v>
      </x:c>
      <x:c r="I7" s="24" t="n">
        <x:f>IF(8&gt;'Ayarlar'!$B$6,0,IF(MAX(0,'Ayarlar'!$B$6-IF('Ayarlar'!$B$7&lt;=0,99,ROUNDUP(MAX('Proje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girdileri'!AD7/'Ayarlar'!$B$7,0))/(52/12),0)),8-1&lt;'Proje girdileri'!AH7),POWER(1-'Proje girdileri'!AT7,8-1),0)+IF(AND(2&gt;IF('Ayarlar'!$B$7&lt;=0,99,ROUNDUP(MAX('Proje girdileri'!AC7,ROUNDUP('Proje girdileri'!AD7/'Ayarlar'!$B$7,0))/(52/12),0)),8-2&lt;'Proje girdileri'!AH7),POWER(1-'Proje girdileri'!AT7,8-2),0)+IF(AND(3&gt;IF('Ayarlar'!$B$7&lt;=0,99,ROUNDUP(MAX('Proje girdileri'!AC7,ROUNDUP('Proje girdileri'!AD7/'Ayarlar'!$B$7,0))/(52/12),0)),8-3&lt;'Proje girdileri'!AH7),POWER(1-'Proje girdileri'!AT7,8-3),0)+IF(AND(4&gt;IF('Ayarlar'!$B$7&lt;=0,99,ROUNDUP(MAX('Proje girdileri'!AC7,ROUNDUP('Proje girdileri'!AD7/'Ayarlar'!$B$7,0))/(52/12),0)),8-4&lt;'Proje girdileri'!AH7),POWER(1-'Proje girdileri'!AT7,8-4),0)+IF(AND(5&gt;IF('Ayarlar'!$B$7&lt;=0,99,ROUNDUP(MAX('Proje girdileri'!AC7,ROUNDUP('Proje girdileri'!AD7/'Ayarlar'!$B$7,0))/(52/12),0)),8-5&lt;'Proje girdileri'!AH7),POWER(1-'Proje girdileri'!AT7,8-5),0)+IF(AND(6&gt;IF('Ayarlar'!$B$7&lt;=0,99,ROUNDUP(MAX('Proje girdileri'!AC7,ROUNDUP('Proje girdileri'!AD7/'Ayarlar'!$B$7,0))/(52/12),0)),8-6&lt;'Proje girdileri'!AH7),POWER(1-'Proje girdileri'!AT7,8-6),0)+IF(AND(7&gt;IF('Ayarlar'!$B$7&lt;=0,99,ROUNDUP(MAX('Proje girdileri'!AC7,ROUNDUP('Proje girdileri'!AD7/'Ayarlar'!$B$7,0))/(52/12),0)),8-7&lt;'Proje girdileri'!AH7),POWER(1-'Proje girdileri'!AT7,8-7),0)+IF(AND(8&gt;IF('Ayarlar'!$B$7&lt;=0,99,ROUNDUP(MAX('Proje girdileri'!AC7,ROUNDUP('Proje girdileri'!AD7/'Ayarlar'!$B$7,0))/(52/12),0)),8-8&lt;'Proje girdileri'!AH7),POWER(1-'Proje girdileri'!AT7,8-8),0)),IF(8&gt;IF('Ayarlar'!$B$7&lt;=0,99,ROUNDUP(MAX('Proje girdileri'!AC7,ROUNDUP('Proje girdileri'!AD7/'Ayarlar'!$B$7,0))/(52/12),0)),1,0))*('Proje girdileri'!Y7*(1-'Proje girdileri'!AA7-'Proje girdileri'!AB7)-'Proje girdileri'!Z7))-'Proje girdileri'!AJ7)</x:f>
        <x:v>0</x:v>
      </x:c>
      <x:c r="J7" s="24" t="n">
        <x:f>IF(9&gt;'Ayarlar'!$B$6,0,IF(MAX(0,'Ayarlar'!$B$6-IF('Ayarlar'!$B$7&lt;=0,99,ROUNDUP(MAX('Proje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girdileri'!AD7/'Ayarlar'!$B$7,0))/(52/12),0)),9-1&lt;'Proje girdileri'!AH7),POWER(1-'Proje girdileri'!AT7,9-1),0)+IF(AND(2&gt;IF('Ayarlar'!$B$7&lt;=0,99,ROUNDUP(MAX('Proje girdileri'!AC7,ROUNDUP('Proje girdileri'!AD7/'Ayarlar'!$B$7,0))/(52/12),0)),9-2&lt;'Proje girdileri'!AH7),POWER(1-'Proje girdileri'!AT7,9-2),0)+IF(AND(3&gt;IF('Ayarlar'!$B$7&lt;=0,99,ROUNDUP(MAX('Proje girdileri'!AC7,ROUNDUP('Proje girdileri'!AD7/'Ayarlar'!$B$7,0))/(52/12),0)),9-3&lt;'Proje girdileri'!AH7),POWER(1-'Proje girdileri'!AT7,9-3),0)+IF(AND(4&gt;IF('Ayarlar'!$B$7&lt;=0,99,ROUNDUP(MAX('Proje girdileri'!AC7,ROUNDUP('Proje girdileri'!AD7/'Ayarlar'!$B$7,0))/(52/12),0)),9-4&lt;'Proje girdileri'!AH7),POWER(1-'Proje girdileri'!AT7,9-4),0)+IF(AND(5&gt;IF('Ayarlar'!$B$7&lt;=0,99,ROUNDUP(MAX('Proje girdileri'!AC7,ROUNDUP('Proje girdileri'!AD7/'Ayarlar'!$B$7,0))/(52/12),0)),9-5&lt;'Proje girdileri'!AH7),POWER(1-'Proje girdileri'!AT7,9-5),0)+IF(AND(6&gt;IF('Ayarlar'!$B$7&lt;=0,99,ROUNDUP(MAX('Proje girdileri'!AC7,ROUNDUP('Proje girdileri'!AD7/'Ayarlar'!$B$7,0))/(52/12),0)),9-6&lt;'Proje girdileri'!AH7),POWER(1-'Proje girdileri'!AT7,9-6),0)+IF(AND(7&gt;IF('Ayarlar'!$B$7&lt;=0,99,ROUNDUP(MAX('Proje girdileri'!AC7,ROUNDUP('Proje girdileri'!AD7/'Ayarlar'!$B$7,0))/(52/12),0)),9-7&lt;'Proje girdileri'!AH7),POWER(1-'Proje girdileri'!AT7,9-7),0)+IF(AND(8&gt;IF('Ayarlar'!$B$7&lt;=0,99,ROUNDUP(MAX('Proje girdileri'!AC7,ROUNDUP('Proje girdileri'!AD7/'Ayarlar'!$B$7,0))/(52/12),0)),9-8&lt;'Proje girdileri'!AH7),POWER(1-'Proje girdileri'!AT7,9-8),0)+IF(AND(9&gt;IF('Ayarlar'!$B$7&lt;=0,99,ROUNDUP(MAX('Proje girdileri'!AC7,ROUNDUP('Proje girdileri'!AD7/'Ayarlar'!$B$7,0))/(52/12),0)),9-9&lt;'Proje girdileri'!AH7),POWER(1-'Proje girdileri'!AT7,9-9),0)),IF(9&gt;IF('Ayarlar'!$B$7&lt;=0,99,ROUNDUP(MAX('Proje girdileri'!AC7,ROUNDUP('Proje girdileri'!AD7/'Ayarlar'!$B$7,0))/(52/12),0)),1,0))*('Proje girdileri'!Y7*(1-'Proje girdileri'!AA7-'Proje girdileri'!AB7)-'Proje girdileri'!Z7))-'Proje girdileri'!AJ7)</x:f>
        <x:v>0</x:v>
      </x:c>
      <x:c r="K7" s="24" t="n">
        <x:f>IF(10&gt;'Ayarlar'!$B$6,0,IF(MAX(0,'Ayarlar'!$B$6-IF('Ayarlar'!$B$7&lt;=0,99,ROUNDUP(MAX('Proje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girdileri'!AD7/'Ayarlar'!$B$7,0))/(52/12),0)),10-1&lt;'Proje girdileri'!AH7),POWER(1-'Proje girdileri'!AT7,10-1),0)+IF(AND(2&gt;IF('Ayarlar'!$B$7&lt;=0,99,ROUNDUP(MAX('Proje girdileri'!AC7,ROUNDUP('Proje girdileri'!AD7/'Ayarlar'!$B$7,0))/(52/12),0)),10-2&lt;'Proje girdileri'!AH7),POWER(1-'Proje girdileri'!AT7,10-2),0)+IF(AND(3&gt;IF('Ayarlar'!$B$7&lt;=0,99,ROUNDUP(MAX('Proje girdileri'!AC7,ROUNDUP('Proje girdileri'!AD7/'Ayarlar'!$B$7,0))/(52/12),0)),10-3&lt;'Proje girdileri'!AH7),POWER(1-'Proje girdileri'!AT7,10-3),0)+IF(AND(4&gt;IF('Ayarlar'!$B$7&lt;=0,99,ROUNDUP(MAX('Proje girdileri'!AC7,ROUNDUP('Proje girdileri'!AD7/'Ayarlar'!$B$7,0))/(52/12),0)),10-4&lt;'Proje girdileri'!AH7),POWER(1-'Proje girdileri'!AT7,10-4),0)+IF(AND(5&gt;IF('Ayarlar'!$B$7&lt;=0,99,ROUNDUP(MAX('Proje girdileri'!AC7,ROUNDUP('Proje girdileri'!AD7/'Ayarlar'!$B$7,0))/(52/12),0)),10-5&lt;'Proje girdileri'!AH7),POWER(1-'Proje girdileri'!AT7,10-5),0)+IF(AND(6&gt;IF('Ayarlar'!$B$7&lt;=0,99,ROUNDUP(MAX('Proje girdileri'!AC7,ROUNDUP('Proje girdileri'!AD7/'Ayarlar'!$B$7,0))/(52/12),0)),10-6&lt;'Proje girdileri'!AH7),POWER(1-'Proje girdileri'!AT7,10-6),0)+IF(AND(7&gt;IF('Ayarlar'!$B$7&lt;=0,99,ROUNDUP(MAX('Proje girdileri'!AC7,ROUNDUP('Proje girdileri'!AD7/'Ayarlar'!$B$7,0))/(52/12),0)),10-7&lt;'Proje girdileri'!AH7),POWER(1-'Proje girdileri'!AT7,10-7),0)+IF(AND(8&gt;IF('Ayarlar'!$B$7&lt;=0,99,ROUNDUP(MAX('Proje girdileri'!AC7,ROUNDUP('Proje girdileri'!AD7/'Ayarlar'!$B$7,0))/(52/12),0)),10-8&lt;'Proje girdileri'!AH7),POWER(1-'Proje girdileri'!AT7,10-8),0)+IF(AND(9&gt;IF('Ayarlar'!$B$7&lt;=0,99,ROUNDUP(MAX('Proje girdileri'!AC7,ROUNDUP('Proje girdileri'!AD7/'Ayarlar'!$B$7,0))/(52/12),0)),10-9&lt;'Proje girdileri'!AH7),POWER(1-'Proje girdileri'!AT7,10-9),0)+IF(AND(10&gt;IF('Ayarlar'!$B$7&lt;=0,99,ROUNDUP(MAX('Proje girdileri'!AC7,ROUNDUP('Proje girdileri'!AD7/'Ayarlar'!$B$7,0))/(52/12),0)),10-10&lt;'Proje girdileri'!AH7),POWER(1-'Proje girdileri'!AT7,10-10),0)),IF(10&gt;IF('Ayarlar'!$B$7&lt;=0,99,ROUNDUP(MAX('Proje girdileri'!AC7,ROUNDUP('Proje girdileri'!AD7/'Ayarlar'!$B$7,0))/(52/12),0)),1,0))*('Proje girdileri'!Y7*(1-'Proje girdileri'!AA7-'Proje girdileri'!AB7)-'Proje girdileri'!Z7))-'Proje girdileri'!AJ7)</x:f>
        <x:v>0</x:v>
      </x:c>
      <x:c r="L7" s="24" t="n">
        <x:f>IF(11&gt;'Ayarlar'!$B$6,0,IF(MAX(0,'Ayarlar'!$B$6-IF('Ayarlar'!$B$7&lt;=0,99,ROUNDUP(MAX('Proje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girdileri'!AD7/'Ayarlar'!$B$7,0))/(52/12),0)),11-1&lt;'Proje girdileri'!AH7),POWER(1-'Proje girdileri'!AT7,11-1),0)+IF(AND(2&gt;IF('Ayarlar'!$B$7&lt;=0,99,ROUNDUP(MAX('Proje girdileri'!AC7,ROUNDUP('Proje girdileri'!AD7/'Ayarlar'!$B$7,0))/(52/12),0)),11-2&lt;'Proje girdileri'!AH7),POWER(1-'Proje girdileri'!AT7,11-2),0)+IF(AND(3&gt;IF('Ayarlar'!$B$7&lt;=0,99,ROUNDUP(MAX('Proje girdileri'!AC7,ROUNDUP('Proje girdileri'!AD7/'Ayarlar'!$B$7,0))/(52/12),0)),11-3&lt;'Proje girdileri'!AH7),POWER(1-'Proje girdileri'!AT7,11-3),0)+IF(AND(4&gt;IF('Ayarlar'!$B$7&lt;=0,99,ROUNDUP(MAX('Proje girdileri'!AC7,ROUNDUP('Proje girdileri'!AD7/'Ayarlar'!$B$7,0))/(52/12),0)),11-4&lt;'Proje girdileri'!AH7),POWER(1-'Proje girdileri'!AT7,11-4),0)+IF(AND(5&gt;IF('Ayarlar'!$B$7&lt;=0,99,ROUNDUP(MAX('Proje girdileri'!AC7,ROUNDUP('Proje girdileri'!AD7/'Ayarlar'!$B$7,0))/(52/12),0)),11-5&lt;'Proje girdileri'!AH7),POWER(1-'Proje girdileri'!AT7,11-5),0)+IF(AND(6&gt;IF('Ayarlar'!$B$7&lt;=0,99,ROUNDUP(MAX('Proje girdileri'!AC7,ROUNDUP('Proje girdileri'!AD7/'Ayarlar'!$B$7,0))/(52/12),0)),11-6&lt;'Proje girdileri'!AH7),POWER(1-'Proje girdileri'!AT7,11-6),0)+IF(AND(7&gt;IF('Ayarlar'!$B$7&lt;=0,99,ROUNDUP(MAX('Proje girdileri'!AC7,ROUNDUP('Proje girdileri'!AD7/'Ayarlar'!$B$7,0))/(52/12),0)),11-7&lt;'Proje girdileri'!AH7),POWER(1-'Proje girdileri'!AT7,11-7),0)+IF(AND(8&gt;IF('Ayarlar'!$B$7&lt;=0,99,ROUNDUP(MAX('Proje girdileri'!AC7,ROUNDUP('Proje girdileri'!AD7/'Ayarlar'!$B$7,0))/(52/12),0)),11-8&lt;'Proje girdileri'!AH7),POWER(1-'Proje girdileri'!AT7,11-8),0)+IF(AND(9&gt;IF('Ayarlar'!$B$7&lt;=0,99,ROUNDUP(MAX('Proje girdileri'!AC7,ROUNDUP('Proje girdileri'!AD7/'Ayarlar'!$B$7,0))/(52/12),0)),11-9&lt;'Proje girdileri'!AH7),POWER(1-'Proje girdileri'!AT7,11-9),0)+IF(AND(10&gt;IF('Ayarlar'!$B$7&lt;=0,99,ROUNDUP(MAX('Proje girdileri'!AC7,ROUNDUP('Proje girdileri'!AD7/'Ayarlar'!$B$7,0))/(52/12),0)),11-10&lt;'Proje girdileri'!AH7),POWER(1-'Proje girdileri'!AT7,11-10),0)+IF(AND(11&gt;IF('Ayarlar'!$B$7&lt;=0,99,ROUNDUP(MAX('Proje girdileri'!AC7,ROUNDUP('Proje girdileri'!AD7/'Ayarlar'!$B$7,0))/(52/12),0)),11-11&lt;'Proje girdileri'!AH7),POWER(1-'Proje girdileri'!AT7,11-11),0)),IF(11&gt;IF('Ayarlar'!$B$7&lt;=0,99,ROUNDUP(MAX('Proje girdileri'!AC7,ROUNDUP('Proje girdileri'!AD7/'Ayarlar'!$B$7,0))/(52/12),0)),1,0))*('Proje girdileri'!Y7*(1-'Proje girdileri'!AA7-'Proje girdileri'!AB7)-'Proje girdileri'!Z7))-'Proje girdileri'!AJ7)</x:f>
        <x:v>0</x:v>
      </x:c>
      <x:c r="M7" s="24" t="n">
        <x:f>IF(12&gt;'Ayarlar'!$B$6,0,IF(MAX(0,'Ayarlar'!$B$6-IF('Ayarlar'!$B$7&lt;=0,99,ROUNDUP(MAX('Proje girdileri'!AC7,ROUNDUP('Proje girdileri'!AD7/'Ayarlar'!$B$7,0))/(52/12),0)))=0,0,'Hesap'!I7/MAX(0,'Ayarlar'!$B$6-IF('Ayarlar'!$B$7&lt;=0,99,ROUNDUP(MAX('Proje girdileri'!AC7,ROUNDUP('Proje girdileri'!AD7/'Ayarlar'!$B$7,0))/(52/12),0)))*IF('Proje girdileri'!C7="recurring",(IF(AND(1&gt;IF('Ayarlar'!$B$7&lt;=0,99,ROUNDUP(MAX('Proje girdileri'!AC7,ROUNDUP('Proje girdileri'!AD7/'Ayarlar'!$B$7,0))/(52/12),0)),12-1&lt;'Proje girdileri'!AH7),POWER(1-'Proje girdileri'!AT7,12-1),0)+IF(AND(2&gt;IF('Ayarlar'!$B$7&lt;=0,99,ROUNDUP(MAX('Proje girdileri'!AC7,ROUNDUP('Proje girdileri'!AD7/'Ayarlar'!$B$7,0))/(52/12),0)),12-2&lt;'Proje girdileri'!AH7),POWER(1-'Proje girdileri'!AT7,12-2),0)+IF(AND(3&gt;IF('Ayarlar'!$B$7&lt;=0,99,ROUNDUP(MAX('Proje girdileri'!AC7,ROUNDUP('Proje girdileri'!AD7/'Ayarlar'!$B$7,0))/(52/12),0)),12-3&lt;'Proje girdileri'!AH7),POWER(1-'Proje girdileri'!AT7,12-3),0)+IF(AND(4&gt;IF('Ayarlar'!$B$7&lt;=0,99,ROUNDUP(MAX('Proje girdileri'!AC7,ROUNDUP('Proje girdileri'!AD7/'Ayarlar'!$B$7,0))/(52/12),0)),12-4&lt;'Proje girdileri'!AH7),POWER(1-'Proje girdileri'!AT7,12-4),0)+IF(AND(5&gt;IF('Ayarlar'!$B$7&lt;=0,99,ROUNDUP(MAX('Proje girdileri'!AC7,ROUNDUP('Proje girdileri'!AD7/'Ayarlar'!$B$7,0))/(52/12),0)),12-5&lt;'Proje girdileri'!AH7),POWER(1-'Proje girdileri'!AT7,12-5),0)+IF(AND(6&gt;IF('Ayarlar'!$B$7&lt;=0,99,ROUNDUP(MAX('Proje girdileri'!AC7,ROUNDUP('Proje girdileri'!AD7/'Ayarlar'!$B$7,0))/(52/12),0)),12-6&lt;'Proje girdileri'!AH7),POWER(1-'Proje girdileri'!AT7,12-6),0)+IF(AND(7&gt;IF('Ayarlar'!$B$7&lt;=0,99,ROUNDUP(MAX('Proje girdileri'!AC7,ROUNDUP('Proje girdileri'!AD7/'Ayarlar'!$B$7,0))/(52/12),0)),12-7&lt;'Proje girdileri'!AH7),POWER(1-'Proje girdileri'!AT7,12-7),0)+IF(AND(8&gt;IF('Ayarlar'!$B$7&lt;=0,99,ROUNDUP(MAX('Proje girdileri'!AC7,ROUNDUP('Proje girdileri'!AD7/'Ayarlar'!$B$7,0))/(52/12),0)),12-8&lt;'Proje girdileri'!AH7),POWER(1-'Proje girdileri'!AT7,12-8),0)+IF(AND(9&gt;IF('Ayarlar'!$B$7&lt;=0,99,ROUNDUP(MAX('Proje girdileri'!AC7,ROUNDUP('Proje girdileri'!AD7/'Ayarlar'!$B$7,0))/(52/12),0)),12-9&lt;'Proje girdileri'!AH7),POWER(1-'Proje girdileri'!AT7,12-9),0)+IF(AND(10&gt;IF('Ayarlar'!$B$7&lt;=0,99,ROUNDUP(MAX('Proje girdileri'!AC7,ROUNDUP('Proje girdileri'!AD7/'Ayarlar'!$B$7,0))/(52/12),0)),12-10&lt;'Proje girdileri'!AH7),POWER(1-'Proje girdileri'!AT7,12-10),0)+IF(AND(11&gt;IF('Ayarlar'!$B$7&lt;=0,99,ROUNDUP(MAX('Proje girdileri'!AC7,ROUNDUP('Proje girdileri'!AD7/'Ayarlar'!$B$7,0))/(52/12),0)),12-11&lt;'Proje girdileri'!AH7),POWER(1-'Proje girdileri'!AT7,12-11),0)+IF(AND(12&gt;IF('Ayarlar'!$B$7&lt;=0,99,ROUNDUP(MAX('Proje girdileri'!AC7,ROUNDUP('Proje girdileri'!AD7/'Ayarlar'!$B$7,0))/(52/12),0)),12-12&lt;'Proje girdileri'!AH7),POWER(1-'Proje girdileri'!AT7,12-12),0)),IF(12&gt;IF('Ayarlar'!$B$7&lt;=0,99,ROUNDUP(MAX('Proje girdileri'!AC7,ROUNDUP('Proje girdileri'!AD7/'Ayarlar'!$B$7,0))/(52/12),0)),1,0))*('Proje girdileri'!Y7*(1-'Proje girdileri'!AA7-'Proje girdileri'!AB7)-'Proje girdileri'!Z7))-'Proje girdileri'!AJ7)</x:f>
        <x:v>0</x:v>
      </x:c>
      <x:c r="N7" s="24" t="n">
        <x:f>SUM(B7:M7)</x:f>
        <x:v>1716</x:v>
      </x:c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</x:row>
    <x:row r="8" ht="24" customHeight="1">
      <x:c r="A8" s="2" t="str">
        <x:f>'Hesap'!B8</x:f>
        <x:v>AiCommandCard</x:v>
      </x:c>
      <x:c r="B8" s="24" t="n">
        <x:f>IF(1&gt;'Ayarlar'!$B$6,0,IF(MAX(0,'Ayarlar'!$B$6-IF('Ayarlar'!$B$7&lt;=0,99,ROUNDUP(MAX('Proje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girdileri'!AD8/'Ayarlar'!$B$7,0))/(52/12),0)),1-1&lt;'Proje girdileri'!AH8),POWER(1-'Proje girdileri'!AT8,1-1),0)),IF(1&gt;IF('Ayarlar'!$B$7&lt;=0,99,ROUNDUP(MAX('Proje girdileri'!AC8,ROUNDUP('Proje girdileri'!AD8/'Ayarlar'!$B$7,0))/(52/12),0)),1,0))*('Proje girdileri'!Y8*(1-'Proje girdileri'!AA8-'Proje girdileri'!AB8)-'Proje girdileri'!Z8))-'Proje girdileri'!AJ8-'Proje girdileri'!AI8)</x:f>
        <x:v>-83</x:v>
      </x:c>
      <x:c r="C8" s="24" t="n">
        <x:f>IF(2&gt;'Ayarlar'!$B$6,0,IF(MAX(0,'Ayarlar'!$B$6-IF('Ayarlar'!$B$7&lt;=0,99,ROUNDUP(MAX('Proje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girdileri'!AD8/'Ayarlar'!$B$7,0))/(52/12),0)),2-1&lt;'Proje girdileri'!AH8),POWER(1-'Proje girdileri'!AT8,2-1),0)+IF(AND(2&gt;IF('Ayarlar'!$B$7&lt;=0,99,ROUNDUP(MAX('Proje girdileri'!AC8,ROUNDUP('Proje girdileri'!AD8/'Ayarlar'!$B$7,0))/(52/12),0)),2-2&lt;'Proje girdileri'!AH8),POWER(1-'Proje girdileri'!AT8,2-2),0)),IF(2&gt;IF('Ayarlar'!$B$7&lt;=0,99,ROUNDUP(MAX('Proje girdileri'!AC8,ROUNDUP('Proje girdileri'!AD8/'Ayarlar'!$B$7,0))/(52/12),0)),1,0))*('Proje girdileri'!Y8*(1-'Proje girdileri'!AA8-'Proje girdileri'!AB8)-'Proje girdileri'!Z8))-'Proje girdileri'!AJ8)</x:f>
        <x:v>-8</x:v>
      </x:c>
      <x:c r="D8" s="24" t="n">
        <x:f>IF(3&gt;'Ayarlar'!$B$6,0,IF(MAX(0,'Ayarlar'!$B$6-IF('Ayarlar'!$B$7&lt;=0,99,ROUNDUP(MAX('Proje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girdileri'!AD8/'Ayarlar'!$B$7,0))/(52/12),0)),3-1&lt;'Proje girdileri'!AH8),POWER(1-'Proje girdileri'!AT8,3-1),0)+IF(AND(2&gt;IF('Ayarlar'!$B$7&lt;=0,99,ROUNDUP(MAX('Proje girdileri'!AC8,ROUNDUP('Proje girdileri'!AD8/'Ayarlar'!$B$7,0))/(52/12),0)),3-2&lt;'Proje girdileri'!AH8),POWER(1-'Proje girdileri'!AT8,3-2),0)+IF(AND(3&gt;IF('Ayarlar'!$B$7&lt;=0,99,ROUNDUP(MAX('Proje girdileri'!AC8,ROUNDUP('Proje girdileri'!AD8/'Ayarlar'!$B$7,0))/(52/12),0)),3-3&lt;'Proje girdileri'!AH8),POWER(1-'Proje girdileri'!AT8,3-3),0)),IF(3&gt;IF('Ayarlar'!$B$7&lt;=0,99,ROUNDUP(MAX('Proje girdileri'!AC8,ROUNDUP('Proje girdileri'!AD8/'Ayarlar'!$B$7,0))/(52/12),0)),1,0))*('Proje girdileri'!Y8*(1-'Proje girdileri'!AA8-'Proje girdileri'!AB8)-'Proje girdileri'!Z8))-'Proje girdileri'!AJ8)</x:f>
        <x:v>116.12499999999997</x:v>
      </x:c>
      <x:c r="E8" s="24" t="n">
        <x:f>IF(4&gt;'Ayarlar'!$B$6,0,IF(MAX(0,'Ayarlar'!$B$6-IF('Ayarlar'!$B$7&lt;=0,99,ROUNDUP(MAX('Proje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girdileri'!AD8/'Ayarlar'!$B$7,0))/(52/12),0)),4-1&lt;'Proje girdileri'!AH8),POWER(1-'Proje girdileri'!AT8,4-1),0)+IF(AND(2&gt;IF('Ayarlar'!$B$7&lt;=0,99,ROUNDUP(MAX('Proje girdileri'!AC8,ROUNDUP('Proje girdileri'!AD8/'Ayarlar'!$B$7,0))/(52/12),0)),4-2&lt;'Proje girdileri'!AH8),POWER(1-'Proje girdileri'!AT8,4-2),0)+IF(AND(3&gt;IF('Ayarlar'!$B$7&lt;=0,99,ROUNDUP(MAX('Proje girdileri'!AC8,ROUNDUP('Proje girdileri'!AD8/'Ayarlar'!$B$7,0))/(52/12),0)),4-3&lt;'Proje girdileri'!AH8),POWER(1-'Proje girdileri'!AT8,4-3),0)+IF(AND(4&gt;IF('Ayarlar'!$B$7&lt;=0,99,ROUNDUP(MAX('Proje girdileri'!AC8,ROUNDUP('Proje girdileri'!AD8/'Ayarlar'!$B$7,0))/(52/12),0)),4-4&lt;'Proje girdileri'!AH8),POWER(1-'Proje girdileri'!AT8,4-4),0)),IF(4&gt;IF('Ayarlar'!$B$7&lt;=0,99,ROUNDUP(MAX('Proje girdileri'!AC8,ROUNDUP('Proje girdileri'!AD8/'Ayarlar'!$B$7,0))/(52/12),0)),1,0))*('Proje girdileri'!Y8*(1-'Proje girdileri'!AA8-'Proje girdileri'!AB8)-'Proje girdileri'!Z8))-'Proje girdileri'!AJ8)</x:f>
        <x:v>116.12499999999997</x:v>
      </x:c>
      <x:c r="F8" s="24" t="n">
        <x:f>IF(5&gt;'Ayarlar'!$B$6,0,IF(MAX(0,'Ayarlar'!$B$6-IF('Ayarlar'!$B$7&lt;=0,99,ROUNDUP(MAX('Proje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girdileri'!AD8/'Ayarlar'!$B$7,0))/(52/12),0)),5-1&lt;'Proje girdileri'!AH8),POWER(1-'Proje girdileri'!AT8,5-1),0)+IF(AND(2&gt;IF('Ayarlar'!$B$7&lt;=0,99,ROUNDUP(MAX('Proje girdileri'!AC8,ROUNDUP('Proje girdileri'!AD8/'Ayarlar'!$B$7,0))/(52/12),0)),5-2&lt;'Proje girdileri'!AH8),POWER(1-'Proje girdileri'!AT8,5-2),0)+IF(AND(3&gt;IF('Ayarlar'!$B$7&lt;=0,99,ROUNDUP(MAX('Proje girdileri'!AC8,ROUNDUP('Proje girdileri'!AD8/'Ayarlar'!$B$7,0))/(52/12),0)),5-3&lt;'Proje girdileri'!AH8),POWER(1-'Proje girdileri'!AT8,5-3),0)+IF(AND(4&gt;IF('Ayarlar'!$B$7&lt;=0,99,ROUNDUP(MAX('Proje girdileri'!AC8,ROUNDUP('Proje girdileri'!AD8/'Ayarlar'!$B$7,0))/(52/12),0)),5-4&lt;'Proje girdileri'!AH8),POWER(1-'Proje girdileri'!AT8,5-4),0)+IF(AND(5&gt;IF('Ayarlar'!$B$7&lt;=0,99,ROUNDUP(MAX('Proje girdileri'!AC8,ROUNDUP('Proje girdileri'!AD8/'Ayarlar'!$B$7,0))/(52/12),0)),5-5&lt;'Proje girdileri'!AH8),POWER(1-'Proje girdileri'!AT8,5-5),0)),IF(5&gt;IF('Ayarlar'!$B$7&lt;=0,99,ROUNDUP(MAX('Proje girdileri'!AC8,ROUNDUP('Proje girdileri'!AD8/'Ayarlar'!$B$7,0))/(52/12),0)),1,0))*('Proje girdileri'!Y8*(1-'Proje girdileri'!AA8-'Proje girdileri'!AB8)-'Proje girdileri'!Z8))-'Proje girdileri'!AJ8)</x:f>
        <x:v>116.12499999999997</x:v>
      </x:c>
      <x:c r="G8" s="24" t="n">
        <x:f>IF(6&gt;'Ayarlar'!$B$6,0,IF(MAX(0,'Ayarlar'!$B$6-IF('Ayarlar'!$B$7&lt;=0,99,ROUNDUP(MAX('Proje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girdileri'!AD8/'Ayarlar'!$B$7,0))/(52/12),0)),6-1&lt;'Proje girdileri'!AH8),POWER(1-'Proje girdileri'!AT8,6-1),0)+IF(AND(2&gt;IF('Ayarlar'!$B$7&lt;=0,99,ROUNDUP(MAX('Proje girdileri'!AC8,ROUNDUP('Proje girdileri'!AD8/'Ayarlar'!$B$7,0))/(52/12),0)),6-2&lt;'Proje girdileri'!AH8),POWER(1-'Proje girdileri'!AT8,6-2),0)+IF(AND(3&gt;IF('Ayarlar'!$B$7&lt;=0,99,ROUNDUP(MAX('Proje girdileri'!AC8,ROUNDUP('Proje girdileri'!AD8/'Ayarlar'!$B$7,0))/(52/12),0)),6-3&lt;'Proje girdileri'!AH8),POWER(1-'Proje girdileri'!AT8,6-3),0)+IF(AND(4&gt;IF('Ayarlar'!$B$7&lt;=0,99,ROUNDUP(MAX('Proje girdileri'!AC8,ROUNDUP('Proje girdileri'!AD8/'Ayarlar'!$B$7,0))/(52/12),0)),6-4&lt;'Proje girdileri'!AH8),POWER(1-'Proje girdileri'!AT8,6-4),0)+IF(AND(5&gt;IF('Ayarlar'!$B$7&lt;=0,99,ROUNDUP(MAX('Proje girdileri'!AC8,ROUNDUP('Proje girdileri'!AD8/'Ayarlar'!$B$7,0))/(52/12),0)),6-5&lt;'Proje girdileri'!AH8),POWER(1-'Proje girdileri'!AT8,6-5),0)+IF(AND(6&gt;IF('Ayarlar'!$B$7&lt;=0,99,ROUNDUP(MAX('Proje girdileri'!AC8,ROUNDUP('Proje girdileri'!AD8/'Ayarlar'!$B$7,0))/(52/12),0)),6-6&lt;'Proje girdileri'!AH8),POWER(1-'Proje girdileri'!AT8,6-6),0)),IF(6&gt;IF('Ayarlar'!$B$7&lt;=0,99,ROUNDUP(MAX('Proje girdileri'!AC8,ROUNDUP('Proje girdileri'!AD8/'Ayarlar'!$B$7,0))/(52/12),0)),1,0))*('Proje girdileri'!Y8*(1-'Proje girdileri'!AA8-'Proje girdileri'!AB8)-'Proje girdileri'!Z8))-'Proje girdileri'!AJ8)</x:f>
        <x:v>116.12499999999997</x:v>
      </x:c>
      <x:c r="H8" s="24" t="n">
        <x:f>IF(7&gt;'Ayarlar'!$B$6,0,IF(MAX(0,'Ayarlar'!$B$6-IF('Ayarlar'!$B$7&lt;=0,99,ROUNDUP(MAX('Proje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girdileri'!AD8/'Ayarlar'!$B$7,0))/(52/12),0)),7-1&lt;'Proje girdileri'!AH8),POWER(1-'Proje girdileri'!AT8,7-1),0)+IF(AND(2&gt;IF('Ayarlar'!$B$7&lt;=0,99,ROUNDUP(MAX('Proje girdileri'!AC8,ROUNDUP('Proje girdileri'!AD8/'Ayarlar'!$B$7,0))/(52/12),0)),7-2&lt;'Proje girdileri'!AH8),POWER(1-'Proje girdileri'!AT8,7-2),0)+IF(AND(3&gt;IF('Ayarlar'!$B$7&lt;=0,99,ROUNDUP(MAX('Proje girdileri'!AC8,ROUNDUP('Proje girdileri'!AD8/'Ayarlar'!$B$7,0))/(52/12),0)),7-3&lt;'Proje girdileri'!AH8),POWER(1-'Proje girdileri'!AT8,7-3),0)+IF(AND(4&gt;IF('Ayarlar'!$B$7&lt;=0,99,ROUNDUP(MAX('Proje girdileri'!AC8,ROUNDUP('Proje girdileri'!AD8/'Ayarlar'!$B$7,0))/(52/12),0)),7-4&lt;'Proje girdileri'!AH8),POWER(1-'Proje girdileri'!AT8,7-4),0)+IF(AND(5&gt;IF('Ayarlar'!$B$7&lt;=0,99,ROUNDUP(MAX('Proje girdileri'!AC8,ROUNDUP('Proje girdileri'!AD8/'Ayarlar'!$B$7,0))/(52/12),0)),7-5&lt;'Proje girdileri'!AH8),POWER(1-'Proje girdileri'!AT8,7-5),0)+IF(AND(6&gt;IF('Ayarlar'!$B$7&lt;=0,99,ROUNDUP(MAX('Proje girdileri'!AC8,ROUNDUP('Proje girdileri'!AD8/'Ayarlar'!$B$7,0))/(52/12),0)),7-6&lt;'Proje girdileri'!AH8),POWER(1-'Proje girdileri'!AT8,7-6),0)+IF(AND(7&gt;IF('Ayarlar'!$B$7&lt;=0,99,ROUNDUP(MAX('Proje girdileri'!AC8,ROUNDUP('Proje girdileri'!AD8/'Ayarlar'!$B$7,0))/(52/12),0)),7-7&lt;'Proje girdileri'!AH8),POWER(1-'Proje girdileri'!AT8,7-7),0)),IF(7&gt;IF('Ayarlar'!$B$7&lt;=0,99,ROUNDUP(MAX('Proje girdileri'!AC8,ROUNDUP('Proje girdileri'!AD8/'Ayarlar'!$B$7,0))/(52/12),0)),1,0))*('Proje girdileri'!Y8*(1-'Proje girdileri'!AA8-'Proje girdileri'!AB8)-'Proje girdileri'!Z8))-'Proje girdileri'!AJ8)</x:f>
        <x:v>0</x:v>
      </x:c>
      <x:c r="I8" s="24" t="n">
        <x:f>IF(8&gt;'Ayarlar'!$B$6,0,IF(MAX(0,'Ayarlar'!$B$6-IF('Ayarlar'!$B$7&lt;=0,99,ROUNDUP(MAX('Proje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girdileri'!AD8/'Ayarlar'!$B$7,0))/(52/12),0)),8-1&lt;'Proje girdileri'!AH8),POWER(1-'Proje girdileri'!AT8,8-1),0)+IF(AND(2&gt;IF('Ayarlar'!$B$7&lt;=0,99,ROUNDUP(MAX('Proje girdileri'!AC8,ROUNDUP('Proje girdileri'!AD8/'Ayarlar'!$B$7,0))/(52/12),0)),8-2&lt;'Proje girdileri'!AH8),POWER(1-'Proje girdileri'!AT8,8-2),0)+IF(AND(3&gt;IF('Ayarlar'!$B$7&lt;=0,99,ROUNDUP(MAX('Proje girdileri'!AC8,ROUNDUP('Proje girdileri'!AD8/'Ayarlar'!$B$7,0))/(52/12),0)),8-3&lt;'Proje girdileri'!AH8),POWER(1-'Proje girdileri'!AT8,8-3),0)+IF(AND(4&gt;IF('Ayarlar'!$B$7&lt;=0,99,ROUNDUP(MAX('Proje girdileri'!AC8,ROUNDUP('Proje girdileri'!AD8/'Ayarlar'!$B$7,0))/(52/12),0)),8-4&lt;'Proje girdileri'!AH8),POWER(1-'Proje girdileri'!AT8,8-4),0)+IF(AND(5&gt;IF('Ayarlar'!$B$7&lt;=0,99,ROUNDUP(MAX('Proje girdileri'!AC8,ROUNDUP('Proje girdileri'!AD8/'Ayarlar'!$B$7,0))/(52/12),0)),8-5&lt;'Proje girdileri'!AH8),POWER(1-'Proje girdileri'!AT8,8-5),0)+IF(AND(6&gt;IF('Ayarlar'!$B$7&lt;=0,99,ROUNDUP(MAX('Proje girdileri'!AC8,ROUNDUP('Proje girdileri'!AD8/'Ayarlar'!$B$7,0))/(52/12),0)),8-6&lt;'Proje girdileri'!AH8),POWER(1-'Proje girdileri'!AT8,8-6),0)+IF(AND(7&gt;IF('Ayarlar'!$B$7&lt;=0,99,ROUNDUP(MAX('Proje girdileri'!AC8,ROUNDUP('Proje girdileri'!AD8/'Ayarlar'!$B$7,0))/(52/12),0)),8-7&lt;'Proje girdileri'!AH8),POWER(1-'Proje girdileri'!AT8,8-7),0)+IF(AND(8&gt;IF('Ayarlar'!$B$7&lt;=0,99,ROUNDUP(MAX('Proje girdileri'!AC8,ROUNDUP('Proje girdileri'!AD8/'Ayarlar'!$B$7,0))/(52/12),0)),8-8&lt;'Proje girdileri'!AH8),POWER(1-'Proje girdileri'!AT8,8-8),0)),IF(8&gt;IF('Ayarlar'!$B$7&lt;=0,99,ROUNDUP(MAX('Proje girdileri'!AC8,ROUNDUP('Proje girdileri'!AD8/'Ayarlar'!$B$7,0))/(52/12),0)),1,0))*('Proje girdileri'!Y8*(1-'Proje girdileri'!AA8-'Proje girdileri'!AB8)-'Proje girdileri'!Z8))-'Proje girdileri'!AJ8)</x:f>
        <x:v>0</x:v>
      </x:c>
      <x:c r="J8" s="24" t="n">
        <x:f>IF(9&gt;'Ayarlar'!$B$6,0,IF(MAX(0,'Ayarlar'!$B$6-IF('Ayarlar'!$B$7&lt;=0,99,ROUNDUP(MAX('Proje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girdileri'!AD8/'Ayarlar'!$B$7,0))/(52/12),0)),9-1&lt;'Proje girdileri'!AH8),POWER(1-'Proje girdileri'!AT8,9-1),0)+IF(AND(2&gt;IF('Ayarlar'!$B$7&lt;=0,99,ROUNDUP(MAX('Proje girdileri'!AC8,ROUNDUP('Proje girdileri'!AD8/'Ayarlar'!$B$7,0))/(52/12),0)),9-2&lt;'Proje girdileri'!AH8),POWER(1-'Proje girdileri'!AT8,9-2),0)+IF(AND(3&gt;IF('Ayarlar'!$B$7&lt;=0,99,ROUNDUP(MAX('Proje girdileri'!AC8,ROUNDUP('Proje girdileri'!AD8/'Ayarlar'!$B$7,0))/(52/12),0)),9-3&lt;'Proje girdileri'!AH8),POWER(1-'Proje girdileri'!AT8,9-3),0)+IF(AND(4&gt;IF('Ayarlar'!$B$7&lt;=0,99,ROUNDUP(MAX('Proje girdileri'!AC8,ROUNDUP('Proje girdileri'!AD8/'Ayarlar'!$B$7,0))/(52/12),0)),9-4&lt;'Proje girdileri'!AH8),POWER(1-'Proje girdileri'!AT8,9-4),0)+IF(AND(5&gt;IF('Ayarlar'!$B$7&lt;=0,99,ROUNDUP(MAX('Proje girdileri'!AC8,ROUNDUP('Proje girdileri'!AD8/'Ayarlar'!$B$7,0))/(52/12),0)),9-5&lt;'Proje girdileri'!AH8),POWER(1-'Proje girdileri'!AT8,9-5),0)+IF(AND(6&gt;IF('Ayarlar'!$B$7&lt;=0,99,ROUNDUP(MAX('Proje girdileri'!AC8,ROUNDUP('Proje girdileri'!AD8/'Ayarlar'!$B$7,0))/(52/12),0)),9-6&lt;'Proje girdileri'!AH8),POWER(1-'Proje girdileri'!AT8,9-6),0)+IF(AND(7&gt;IF('Ayarlar'!$B$7&lt;=0,99,ROUNDUP(MAX('Proje girdileri'!AC8,ROUNDUP('Proje girdileri'!AD8/'Ayarlar'!$B$7,0))/(52/12),0)),9-7&lt;'Proje girdileri'!AH8),POWER(1-'Proje girdileri'!AT8,9-7),0)+IF(AND(8&gt;IF('Ayarlar'!$B$7&lt;=0,99,ROUNDUP(MAX('Proje girdileri'!AC8,ROUNDUP('Proje girdileri'!AD8/'Ayarlar'!$B$7,0))/(52/12),0)),9-8&lt;'Proje girdileri'!AH8),POWER(1-'Proje girdileri'!AT8,9-8),0)+IF(AND(9&gt;IF('Ayarlar'!$B$7&lt;=0,99,ROUNDUP(MAX('Proje girdileri'!AC8,ROUNDUP('Proje girdileri'!AD8/'Ayarlar'!$B$7,0))/(52/12),0)),9-9&lt;'Proje girdileri'!AH8),POWER(1-'Proje girdileri'!AT8,9-9),0)),IF(9&gt;IF('Ayarlar'!$B$7&lt;=0,99,ROUNDUP(MAX('Proje girdileri'!AC8,ROUNDUP('Proje girdileri'!AD8/'Ayarlar'!$B$7,0))/(52/12),0)),1,0))*('Proje girdileri'!Y8*(1-'Proje girdileri'!AA8-'Proje girdileri'!AB8)-'Proje girdileri'!Z8))-'Proje girdileri'!AJ8)</x:f>
        <x:v>0</x:v>
      </x:c>
      <x:c r="K8" s="24" t="n">
        <x:f>IF(10&gt;'Ayarlar'!$B$6,0,IF(MAX(0,'Ayarlar'!$B$6-IF('Ayarlar'!$B$7&lt;=0,99,ROUNDUP(MAX('Proje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girdileri'!AD8/'Ayarlar'!$B$7,0))/(52/12),0)),10-1&lt;'Proje girdileri'!AH8),POWER(1-'Proje girdileri'!AT8,10-1),0)+IF(AND(2&gt;IF('Ayarlar'!$B$7&lt;=0,99,ROUNDUP(MAX('Proje girdileri'!AC8,ROUNDUP('Proje girdileri'!AD8/'Ayarlar'!$B$7,0))/(52/12),0)),10-2&lt;'Proje girdileri'!AH8),POWER(1-'Proje girdileri'!AT8,10-2),0)+IF(AND(3&gt;IF('Ayarlar'!$B$7&lt;=0,99,ROUNDUP(MAX('Proje girdileri'!AC8,ROUNDUP('Proje girdileri'!AD8/'Ayarlar'!$B$7,0))/(52/12),0)),10-3&lt;'Proje girdileri'!AH8),POWER(1-'Proje girdileri'!AT8,10-3),0)+IF(AND(4&gt;IF('Ayarlar'!$B$7&lt;=0,99,ROUNDUP(MAX('Proje girdileri'!AC8,ROUNDUP('Proje girdileri'!AD8/'Ayarlar'!$B$7,0))/(52/12),0)),10-4&lt;'Proje girdileri'!AH8),POWER(1-'Proje girdileri'!AT8,10-4),0)+IF(AND(5&gt;IF('Ayarlar'!$B$7&lt;=0,99,ROUNDUP(MAX('Proje girdileri'!AC8,ROUNDUP('Proje girdileri'!AD8/'Ayarlar'!$B$7,0))/(52/12),0)),10-5&lt;'Proje girdileri'!AH8),POWER(1-'Proje girdileri'!AT8,10-5),0)+IF(AND(6&gt;IF('Ayarlar'!$B$7&lt;=0,99,ROUNDUP(MAX('Proje girdileri'!AC8,ROUNDUP('Proje girdileri'!AD8/'Ayarlar'!$B$7,0))/(52/12),0)),10-6&lt;'Proje girdileri'!AH8),POWER(1-'Proje girdileri'!AT8,10-6),0)+IF(AND(7&gt;IF('Ayarlar'!$B$7&lt;=0,99,ROUNDUP(MAX('Proje girdileri'!AC8,ROUNDUP('Proje girdileri'!AD8/'Ayarlar'!$B$7,0))/(52/12),0)),10-7&lt;'Proje girdileri'!AH8),POWER(1-'Proje girdileri'!AT8,10-7),0)+IF(AND(8&gt;IF('Ayarlar'!$B$7&lt;=0,99,ROUNDUP(MAX('Proje girdileri'!AC8,ROUNDUP('Proje girdileri'!AD8/'Ayarlar'!$B$7,0))/(52/12),0)),10-8&lt;'Proje girdileri'!AH8),POWER(1-'Proje girdileri'!AT8,10-8),0)+IF(AND(9&gt;IF('Ayarlar'!$B$7&lt;=0,99,ROUNDUP(MAX('Proje girdileri'!AC8,ROUNDUP('Proje girdileri'!AD8/'Ayarlar'!$B$7,0))/(52/12),0)),10-9&lt;'Proje girdileri'!AH8),POWER(1-'Proje girdileri'!AT8,10-9),0)+IF(AND(10&gt;IF('Ayarlar'!$B$7&lt;=0,99,ROUNDUP(MAX('Proje girdileri'!AC8,ROUNDUP('Proje girdileri'!AD8/'Ayarlar'!$B$7,0))/(52/12),0)),10-10&lt;'Proje girdileri'!AH8),POWER(1-'Proje girdileri'!AT8,10-10),0)),IF(10&gt;IF('Ayarlar'!$B$7&lt;=0,99,ROUNDUP(MAX('Proje girdileri'!AC8,ROUNDUP('Proje girdileri'!AD8/'Ayarlar'!$B$7,0))/(52/12),0)),1,0))*('Proje girdileri'!Y8*(1-'Proje girdileri'!AA8-'Proje girdileri'!AB8)-'Proje girdileri'!Z8))-'Proje girdileri'!AJ8)</x:f>
        <x:v>0</x:v>
      </x:c>
      <x:c r="L8" s="24" t="n">
        <x:f>IF(11&gt;'Ayarlar'!$B$6,0,IF(MAX(0,'Ayarlar'!$B$6-IF('Ayarlar'!$B$7&lt;=0,99,ROUNDUP(MAX('Proje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girdileri'!AD8/'Ayarlar'!$B$7,0))/(52/12),0)),11-1&lt;'Proje girdileri'!AH8),POWER(1-'Proje girdileri'!AT8,11-1),0)+IF(AND(2&gt;IF('Ayarlar'!$B$7&lt;=0,99,ROUNDUP(MAX('Proje girdileri'!AC8,ROUNDUP('Proje girdileri'!AD8/'Ayarlar'!$B$7,0))/(52/12),0)),11-2&lt;'Proje girdileri'!AH8),POWER(1-'Proje girdileri'!AT8,11-2),0)+IF(AND(3&gt;IF('Ayarlar'!$B$7&lt;=0,99,ROUNDUP(MAX('Proje girdileri'!AC8,ROUNDUP('Proje girdileri'!AD8/'Ayarlar'!$B$7,0))/(52/12),0)),11-3&lt;'Proje girdileri'!AH8),POWER(1-'Proje girdileri'!AT8,11-3),0)+IF(AND(4&gt;IF('Ayarlar'!$B$7&lt;=0,99,ROUNDUP(MAX('Proje girdileri'!AC8,ROUNDUP('Proje girdileri'!AD8/'Ayarlar'!$B$7,0))/(52/12),0)),11-4&lt;'Proje girdileri'!AH8),POWER(1-'Proje girdileri'!AT8,11-4),0)+IF(AND(5&gt;IF('Ayarlar'!$B$7&lt;=0,99,ROUNDUP(MAX('Proje girdileri'!AC8,ROUNDUP('Proje girdileri'!AD8/'Ayarlar'!$B$7,0))/(52/12),0)),11-5&lt;'Proje girdileri'!AH8),POWER(1-'Proje girdileri'!AT8,11-5),0)+IF(AND(6&gt;IF('Ayarlar'!$B$7&lt;=0,99,ROUNDUP(MAX('Proje girdileri'!AC8,ROUNDUP('Proje girdileri'!AD8/'Ayarlar'!$B$7,0))/(52/12),0)),11-6&lt;'Proje girdileri'!AH8),POWER(1-'Proje girdileri'!AT8,11-6),0)+IF(AND(7&gt;IF('Ayarlar'!$B$7&lt;=0,99,ROUNDUP(MAX('Proje girdileri'!AC8,ROUNDUP('Proje girdileri'!AD8/'Ayarlar'!$B$7,0))/(52/12),0)),11-7&lt;'Proje girdileri'!AH8),POWER(1-'Proje girdileri'!AT8,11-7),0)+IF(AND(8&gt;IF('Ayarlar'!$B$7&lt;=0,99,ROUNDUP(MAX('Proje girdileri'!AC8,ROUNDUP('Proje girdileri'!AD8/'Ayarlar'!$B$7,0))/(52/12),0)),11-8&lt;'Proje girdileri'!AH8),POWER(1-'Proje girdileri'!AT8,11-8),0)+IF(AND(9&gt;IF('Ayarlar'!$B$7&lt;=0,99,ROUNDUP(MAX('Proje girdileri'!AC8,ROUNDUP('Proje girdileri'!AD8/'Ayarlar'!$B$7,0))/(52/12),0)),11-9&lt;'Proje girdileri'!AH8),POWER(1-'Proje girdileri'!AT8,11-9),0)+IF(AND(10&gt;IF('Ayarlar'!$B$7&lt;=0,99,ROUNDUP(MAX('Proje girdileri'!AC8,ROUNDUP('Proje girdileri'!AD8/'Ayarlar'!$B$7,0))/(52/12),0)),11-10&lt;'Proje girdileri'!AH8),POWER(1-'Proje girdileri'!AT8,11-10),0)+IF(AND(11&gt;IF('Ayarlar'!$B$7&lt;=0,99,ROUNDUP(MAX('Proje girdileri'!AC8,ROUNDUP('Proje girdileri'!AD8/'Ayarlar'!$B$7,0))/(52/12),0)),11-11&lt;'Proje girdileri'!AH8),POWER(1-'Proje girdileri'!AT8,11-11),0)),IF(11&gt;IF('Ayarlar'!$B$7&lt;=0,99,ROUNDUP(MAX('Proje girdileri'!AC8,ROUNDUP('Proje girdileri'!AD8/'Ayarlar'!$B$7,0))/(52/12),0)),1,0))*('Proje girdileri'!Y8*(1-'Proje girdileri'!AA8-'Proje girdileri'!AB8)-'Proje girdileri'!Z8))-'Proje girdileri'!AJ8)</x:f>
        <x:v>0</x:v>
      </x:c>
      <x:c r="M8" s="24" t="n">
        <x:f>IF(12&gt;'Ayarlar'!$B$6,0,IF(MAX(0,'Ayarlar'!$B$6-IF('Ayarlar'!$B$7&lt;=0,99,ROUNDUP(MAX('Proje girdileri'!AC8,ROUNDUP('Proje girdileri'!AD8/'Ayarlar'!$B$7,0))/(52/12),0)))=0,0,'Hesap'!I8/MAX(0,'Ayarlar'!$B$6-IF('Ayarlar'!$B$7&lt;=0,99,ROUNDUP(MAX('Proje girdileri'!AC8,ROUNDUP('Proje girdileri'!AD8/'Ayarlar'!$B$7,0))/(52/12),0)))*IF('Proje girdileri'!C8="recurring",(IF(AND(1&gt;IF('Ayarlar'!$B$7&lt;=0,99,ROUNDUP(MAX('Proje girdileri'!AC8,ROUNDUP('Proje girdileri'!AD8/'Ayarlar'!$B$7,0))/(52/12),0)),12-1&lt;'Proje girdileri'!AH8),POWER(1-'Proje girdileri'!AT8,12-1),0)+IF(AND(2&gt;IF('Ayarlar'!$B$7&lt;=0,99,ROUNDUP(MAX('Proje girdileri'!AC8,ROUNDUP('Proje girdileri'!AD8/'Ayarlar'!$B$7,0))/(52/12),0)),12-2&lt;'Proje girdileri'!AH8),POWER(1-'Proje girdileri'!AT8,12-2),0)+IF(AND(3&gt;IF('Ayarlar'!$B$7&lt;=0,99,ROUNDUP(MAX('Proje girdileri'!AC8,ROUNDUP('Proje girdileri'!AD8/'Ayarlar'!$B$7,0))/(52/12),0)),12-3&lt;'Proje girdileri'!AH8),POWER(1-'Proje girdileri'!AT8,12-3),0)+IF(AND(4&gt;IF('Ayarlar'!$B$7&lt;=0,99,ROUNDUP(MAX('Proje girdileri'!AC8,ROUNDUP('Proje girdileri'!AD8/'Ayarlar'!$B$7,0))/(52/12),0)),12-4&lt;'Proje girdileri'!AH8),POWER(1-'Proje girdileri'!AT8,12-4),0)+IF(AND(5&gt;IF('Ayarlar'!$B$7&lt;=0,99,ROUNDUP(MAX('Proje girdileri'!AC8,ROUNDUP('Proje girdileri'!AD8/'Ayarlar'!$B$7,0))/(52/12),0)),12-5&lt;'Proje girdileri'!AH8),POWER(1-'Proje girdileri'!AT8,12-5),0)+IF(AND(6&gt;IF('Ayarlar'!$B$7&lt;=0,99,ROUNDUP(MAX('Proje girdileri'!AC8,ROUNDUP('Proje girdileri'!AD8/'Ayarlar'!$B$7,0))/(52/12),0)),12-6&lt;'Proje girdileri'!AH8),POWER(1-'Proje girdileri'!AT8,12-6),0)+IF(AND(7&gt;IF('Ayarlar'!$B$7&lt;=0,99,ROUNDUP(MAX('Proje girdileri'!AC8,ROUNDUP('Proje girdileri'!AD8/'Ayarlar'!$B$7,0))/(52/12),0)),12-7&lt;'Proje girdileri'!AH8),POWER(1-'Proje girdileri'!AT8,12-7),0)+IF(AND(8&gt;IF('Ayarlar'!$B$7&lt;=0,99,ROUNDUP(MAX('Proje girdileri'!AC8,ROUNDUP('Proje girdileri'!AD8/'Ayarlar'!$B$7,0))/(52/12),0)),12-8&lt;'Proje girdileri'!AH8),POWER(1-'Proje girdileri'!AT8,12-8),0)+IF(AND(9&gt;IF('Ayarlar'!$B$7&lt;=0,99,ROUNDUP(MAX('Proje girdileri'!AC8,ROUNDUP('Proje girdileri'!AD8/'Ayarlar'!$B$7,0))/(52/12),0)),12-9&lt;'Proje girdileri'!AH8),POWER(1-'Proje girdileri'!AT8,12-9),0)+IF(AND(10&gt;IF('Ayarlar'!$B$7&lt;=0,99,ROUNDUP(MAX('Proje girdileri'!AC8,ROUNDUP('Proje girdileri'!AD8/'Ayarlar'!$B$7,0))/(52/12),0)),12-10&lt;'Proje girdileri'!AH8),POWER(1-'Proje girdileri'!AT8,12-10),0)+IF(AND(11&gt;IF('Ayarlar'!$B$7&lt;=0,99,ROUNDUP(MAX('Proje girdileri'!AC8,ROUNDUP('Proje girdileri'!AD8/'Ayarlar'!$B$7,0))/(52/12),0)),12-11&lt;'Proje girdileri'!AH8),POWER(1-'Proje girdileri'!AT8,12-11),0)+IF(AND(12&gt;IF('Ayarlar'!$B$7&lt;=0,99,ROUNDUP(MAX('Proje girdileri'!AC8,ROUNDUP('Proje girdileri'!AD8/'Ayarlar'!$B$7,0))/(52/12),0)),12-12&lt;'Proje girdileri'!AH8),POWER(1-'Proje girdileri'!AT8,12-12),0)),IF(12&gt;IF('Ayarlar'!$B$7&lt;=0,99,ROUNDUP(MAX('Proje girdileri'!AC8,ROUNDUP('Proje girdileri'!AD8/'Ayarlar'!$B$7,0))/(52/12),0)),1,0))*('Proje girdileri'!Y8*(1-'Proje girdileri'!AA8-'Proje girdileri'!AB8)-'Proje girdileri'!Z8))-'Proje girdileri'!AJ8)</x:f>
        <x:v>0</x:v>
      </x:c>
      <x:c r="N8" s="24" t="n">
        <x:f>SUM(B8:M8)</x:f>
        <x:v>373.4999999999999</x:v>
      </x:c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</x:row>
    <x:row r="9" ht="24" customHeight="1">
      <x:c r="A9" s="2" t="str">
        <x:f>'Hesap'!B9</x:f>
        <x:v>Arsam ParselQ</x:v>
      </x:c>
      <x:c r="B9" s="24" t="n">
        <x:f>IF(1&gt;'Ayarlar'!$B$6,0,IF(MAX(0,'Ayarlar'!$B$6-IF('Ayarlar'!$B$7&lt;=0,99,ROUNDUP(MAX('Proje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girdileri'!AD9/'Ayarlar'!$B$7,0))/(52/12),0)),1-1&lt;'Proje girdileri'!AH9),POWER(1-'Proje girdileri'!AT9,1-1),0)),IF(1&gt;IF('Ayarlar'!$B$7&lt;=0,99,ROUNDUP(MAX('Proje girdileri'!AC9,ROUNDUP('Proje girdileri'!AD9/'Ayarlar'!$B$7,0))/(52/12),0)),1,0))*('Proje girdileri'!Y9*(1-'Proje girdileri'!AA9-'Proje girdileri'!AB9)-'Proje girdileri'!Z9))-'Proje girdileri'!AJ9-'Proje girdileri'!AI9)</x:f>
        <x:v>-110</x:v>
      </x:c>
      <x:c r="C9" s="24" t="n">
        <x:f>IF(2&gt;'Ayarlar'!$B$6,0,IF(MAX(0,'Ayarlar'!$B$6-IF('Ayarlar'!$B$7&lt;=0,99,ROUNDUP(MAX('Proje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girdileri'!AD9/'Ayarlar'!$B$7,0))/(52/12),0)),2-1&lt;'Proje girdileri'!AH9),POWER(1-'Proje girdileri'!AT9,2-1),0)+IF(AND(2&gt;IF('Ayarlar'!$B$7&lt;=0,99,ROUNDUP(MAX('Proje girdileri'!AC9,ROUNDUP('Proje girdileri'!AD9/'Ayarlar'!$B$7,0))/(52/12),0)),2-2&lt;'Proje girdileri'!AH9),POWER(1-'Proje girdileri'!AT9,2-2),0)),IF(2&gt;IF('Ayarlar'!$B$7&lt;=0,99,ROUNDUP(MAX('Proje girdileri'!AC9,ROUNDUP('Proje girdileri'!AD9/'Ayarlar'!$B$7,0))/(52/12),0)),1,0))*('Proje girdileri'!Y9*(1-'Proje girdileri'!AA9-'Proje girdileri'!AB9)-'Proje girdileri'!Z9))-'Proje girdileri'!AJ9)</x:f>
        <x:v>-10</x:v>
      </x:c>
      <x:c r="D9" s="24" t="n">
        <x:f>IF(3&gt;'Ayarlar'!$B$6,0,IF(MAX(0,'Ayarlar'!$B$6-IF('Ayarlar'!$B$7&lt;=0,99,ROUNDUP(MAX('Proje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girdileri'!AD9/'Ayarlar'!$B$7,0))/(52/12),0)),3-1&lt;'Proje girdileri'!AH9),POWER(1-'Proje girdileri'!AT9,3-1),0)+IF(AND(2&gt;IF('Ayarlar'!$B$7&lt;=0,99,ROUNDUP(MAX('Proje girdileri'!AC9,ROUNDUP('Proje girdileri'!AD9/'Ayarlar'!$B$7,0))/(52/12),0)),3-2&lt;'Proje girdileri'!AH9),POWER(1-'Proje girdileri'!AT9,3-2),0)+IF(AND(3&gt;IF('Ayarlar'!$B$7&lt;=0,99,ROUNDUP(MAX('Proje girdileri'!AC9,ROUNDUP('Proje girdileri'!AD9/'Ayarlar'!$B$7,0))/(52/12),0)),3-3&lt;'Proje girdileri'!AH9),POWER(1-'Proje girdileri'!AT9,3-3),0)),IF(3&gt;IF('Ayarlar'!$B$7&lt;=0,99,ROUNDUP(MAX('Proje girdileri'!AC9,ROUNDUP('Proje girdileri'!AD9/'Ayarlar'!$B$7,0))/(52/12),0)),1,0))*('Proje girdileri'!Y9*(1-'Proje girdileri'!AA9-'Proje girdileri'!AB9)-'Proje girdileri'!Z9))-'Proje girdileri'!AJ9)</x:f>
        <x:v>400.09999999999997</x:v>
      </x:c>
      <x:c r="E9" s="24" t="n">
        <x:f>IF(4&gt;'Ayarlar'!$B$6,0,IF(MAX(0,'Ayarlar'!$B$6-IF('Ayarlar'!$B$7&lt;=0,99,ROUNDUP(MAX('Proje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girdileri'!AD9/'Ayarlar'!$B$7,0))/(52/12),0)),4-1&lt;'Proje girdileri'!AH9),POWER(1-'Proje girdileri'!AT9,4-1),0)+IF(AND(2&gt;IF('Ayarlar'!$B$7&lt;=0,99,ROUNDUP(MAX('Proje girdileri'!AC9,ROUNDUP('Proje girdileri'!AD9/'Ayarlar'!$B$7,0))/(52/12),0)),4-2&lt;'Proje girdileri'!AH9),POWER(1-'Proje girdileri'!AT9,4-2),0)+IF(AND(3&gt;IF('Ayarlar'!$B$7&lt;=0,99,ROUNDUP(MAX('Proje girdileri'!AC9,ROUNDUP('Proje girdileri'!AD9/'Ayarlar'!$B$7,0))/(52/12),0)),4-3&lt;'Proje girdileri'!AH9),POWER(1-'Proje girdileri'!AT9,4-3),0)+IF(AND(4&gt;IF('Ayarlar'!$B$7&lt;=0,99,ROUNDUP(MAX('Proje girdileri'!AC9,ROUNDUP('Proje girdileri'!AD9/'Ayarlar'!$B$7,0))/(52/12),0)),4-4&lt;'Proje girdileri'!AH9),POWER(1-'Proje girdileri'!AT9,4-4),0)),IF(4&gt;IF('Ayarlar'!$B$7&lt;=0,99,ROUNDUP(MAX('Proje girdileri'!AC9,ROUNDUP('Proje girdileri'!AD9/'Ayarlar'!$B$7,0))/(52/12),0)),1,0))*('Proje girdileri'!Y9*(1-'Proje girdileri'!AA9-'Proje girdileri'!AB9)-'Proje girdileri'!Z9))-'Proje girdileri'!AJ9)</x:f>
        <x:v>400.09999999999997</x:v>
      </x:c>
      <x:c r="F9" s="24" t="n">
        <x:f>IF(5&gt;'Ayarlar'!$B$6,0,IF(MAX(0,'Ayarlar'!$B$6-IF('Ayarlar'!$B$7&lt;=0,99,ROUNDUP(MAX('Proje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girdileri'!AD9/'Ayarlar'!$B$7,0))/(52/12),0)),5-1&lt;'Proje girdileri'!AH9),POWER(1-'Proje girdileri'!AT9,5-1),0)+IF(AND(2&gt;IF('Ayarlar'!$B$7&lt;=0,99,ROUNDUP(MAX('Proje girdileri'!AC9,ROUNDUP('Proje girdileri'!AD9/'Ayarlar'!$B$7,0))/(52/12),0)),5-2&lt;'Proje girdileri'!AH9),POWER(1-'Proje girdileri'!AT9,5-2),0)+IF(AND(3&gt;IF('Ayarlar'!$B$7&lt;=0,99,ROUNDUP(MAX('Proje girdileri'!AC9,ROUNDUP('Proje girdileri'!AD9/'Ayarlar'!$B$7,0))/(52/12),0)),5-3&lt;'Proje girdileri'!AH9),POWER(1-'Proje girdileri'!AT9,5-3),0)+IF(AND(4&gt;IF('Ayarlar'!$B$7&lt;=0,99,ROUNDUP(MAX('Proje girdileri'!AC9,ROUNDUP('Proje girdileri'!AD9/'Ayarlar'!$B$7,0))/(52/12),0)),5-4&lt;'Proje girdileri'!AH9),POWER(1-'Proje girdileri'!AT9,5-4),0)+IF(AND(5&gt;IF('Ayarlar'!$B$7&lt;=0,99,ROUNDUP(MAX('Proje girdileri'!AC9,ROUNDUP('Proje girdileri'!AD9/'Ayarlar'!$B$7,0))/(52/12),0)),5-5&lt;'Proje girdileri'!AH9),POWER(1-'Proje girdileri'!AT9,5-5),0)),IF(5&gt;IF('Ayarlar'!$B$7&lt;=0,99,ROUNDUP(MAX('Proje girdileri'!AC9,ROUNDUP('Proje girdileri'!AD9/'Ayarlar'!$B$7,0))/(52/12),0)),1,0))*('Proje girdileri'!Y9*(1-'Proje girdileri'!AA9-'Proje girdileri'!AB9)-'Proje girdileri'!Z9))-'Proje girdileri'!AJ9)</x:f>
        <x:v>400.09999999999997</x:v>
      </x:c>
      <x:c r="G9" s="24" t="n">
        <x:f>IF(6&gt;'Ayarlar'!$B$6,0,IF(MAX(0,'Ayarlar'!$B$6-IF('Ayarlar'!$B$7&lt;=0,99,ROUNDUP(MAX('Proje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girdileri'!AD9/'Ayarlar'!$B$7,0))/(52/12),0)),6-1&lt;'Proje girdileri'!AH9),POWER(1-'Proje girdileri'!AT9,6-1),0)+IF(AND(2&gt;IF('Ayarlar'!$B$7&lt;=0,99,ROUNDUP(MAX('Proje girdileri'!AC9,ROUNDUP('Proje girdileri'!AD9/'Ayarlar'!$B$7,0))/(52/12),0)),6-2&lt;'Proje girdileri'!AH9),POWER(1-'Proje girdileri'!AT9,6-2),0)+IF(AND(3&gt;IF('Ayarlar'!$B$7&lt;=0,99,ROUNDUP(MAX('Proje girdileri'!AC9,ROUNDUP('Proje girdileri'!AD9/'Ayarlar'!$B$7,0))/(52/12),0)),6-3&lt;'Proje girdileri'!AH9),POWER(1-'Proje girdileri'!AT9,6-3),0)+IF(AND(4&gt;IF('Ayarlar'!$B$7&lt;=0,99,ROUNDUP(MAX('Proje girdileri'!AC9,ROUNDUP('Proje girdileri'!AD9/'Ayarlar'!$B$7,0))/(52/12),0)),6-4&lt;'Proje girdileri'!AH9),POWER(1-'Proje girdileri'!AT9,6-4),0)+IF(AND(5&gt;IF('Ayarlar'!$B$7&lt;=0,99,ROUNDUP(MAX('Proje girdileri'!AC9,ROUNDUP('Proje girdileri'!AD9/'Ayarlar'!$B$7,0))/(52/12),0)),6-5&lt;'Proje girdileri'!AH9),POWER(1-'Proje girdileri'!AT9,6-5),0)+IF(AND(6&gt;IF('Ayarlar'!$B$7&lt;=0,99,ROUNDUP(MAX('Proje girdileri'!AC9,ROUNDUP('Proje girdileri'!AD9/'Ayarlar'!$B$7,0))/(52/12),0)),6-6&lt;'Proje girdileri'!AH9),POWER(1-'Proje girdileri'!AT9,6-6),0)),IF(6&gt;IF('Ayarlar'!$B$7&lt;=0,99,ROUNDUP(MAX('Proje girdileri'!AC9,ROUNDUP('Proje girdileri'!AD9/'Ayarlar'!$B$7,0))/(52/12),0)),1,0))*('Proje girdileri'!Y9*(1-'Proje girdileri'!AA9-'Proje girdileri'!AB9)-'Proje girdileri'!Z9))-'Proje girdileri'!AJ9)</x:f>
        <x:v>400.09999999999997</x:v>
      </x:c>
      <x:c r="H9" s="24" t="n">
        <x:f>IF(7&gt;'Ayarlar'!$B$6,0,IF(MAX(0,'Ayarlar'!$B$6-IF('Ayarlar'!$B$7&lt;=0,99,ROUNDUP(MAX('Proje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girdileri'!AD9/'Ayarlar'!$B$7,0))/(52/12),0)),7-1&lt;'Proje girdileri'!AH9),POWER(1-'Proje girdileri'!AT9,7-1),0)+IF(AND(2&gt;IF('Ayarlar'!$B$7&lt;=0,99,ROUNDUP(MAX('Proje girdileri'!AC9,ROUNDUP('Proje girdileri'!AD9/'Ayarlar'!$B$7,0))/(52/12),0)),7-2&lt;'Proje girdileri'!AH9),POWER(1-'Proje girdileri'!AT9,7-2),0)+IF(AND(3&gt;IF('Ayarlar'!$B$7&lt;=0,99,ROUNDUP(MAX('Proje girdileri'!AC9,ROUNDUP('Proje girdileri'!AD9/'Ayarlar'!$B$7,0))/(52/12),0)),7-3&lt;'Proje girdileri'!AH9),POWER(1-'Proje girdileri'!AT9,7-3),0)+IF(AND(4&gt;IF('Ayarlar'!$B$7&lt;=0,99,ROUNDUP(MAX('Proje girdileri'!AC9,ROUNDUP('Proje girdileri'!AD9/'Ayarlar'!$B$7,0))/(52/12),0)),7-4&lt;'Proje girdileri'!AH9),POWER(1-'Proje girdileri'!AT9,7-4),0)+IF(AND(5&gt;IF('Ayarlar'!$B$7&lt;=0,99,ROUNDUP(MAX('Proje girdileri'!AC9,ROUNDUP('Proje girdileri'!AD9/'Ayarlar'!$B$7,0))/(52/12),0)),7-5&lt;'Proje girdileri'!AH9),POWER(1-'Proje girdileri'!AT9,7-5),0)+IF(AND(6&gt;IF('Ayarlar'!$B$7&lt;=0,99,ROUNDUP(MAX('Proje girdileri'!AC9,ROUNDUP('Proje girdileri'!AD9/'Ayarlar'!$B$7,0))/(52/12),0)),7-6&lt;'Proje girdileri'!AH9),POWER(1-'Proje girdileri'!AT9,7-6),0)+IF(AND(7&gt;IF('Ayarlar'!$B$7&lt;=0,99,ROUNDUP(MAX('Proje girdileri'!AC9,ROUNDUP('Proje girdileri'!AD9/'Ayarlar'!$B$7,0))/(52/12),0)),7-7&lt;'Proje girdileri'!AH9),POWER(1-'Proje girdileri'!AT9,7-7),0)),IF(7&gt;IF('Ayarlar'!$B$7&lt;=0,99,ROUNDUP(MAX('Proje girdileri'!AC9,ROUNDUP('Proje girdileri'!AD9/'Ayarlar'!$B$7,0))/(52/12),0)),1,0))*('Proje girdileri'!Y9*(1-'Proje girdileri'!AA9-'Proje girdileri'!AB9)-'Proje girdileri'!Z9))-'Proje girdileri'!AJ9)</x:f>
        <x:v>0</x:v>
      </x:c>
      <x:c r="I9" s="24" t="n">
        <x:f>IF(8&gt;'Ayarlar'!$B$6,0,IF(MAX(0,'Ayarlar'!$B$6-IF('Ayarlar'!$B$7&lt;=0,99,ROUNDUP(MAX('Proje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girdileri'!AD9/'Ayarlar'!$B$7,0))/(52/12),0)),8-1&lt;'Proje girdileri'!AH9),POWER(1-'Proje girdileri'!AT9,8-1),0)+IF(AND(2&gt;IF('Ayarlar'!$B$7&lt;=0,99,ROUNDUP(MAX('Proje girdileri'!AC9,ROUNDUP('Proje girdileri'!AD9/'Ayarlar'!$B$7,0))/(52/12),0)),8-2&lt;'Proje girdileri'!AH9),POWER(1-'Proje girdileri'!AT9,8-2),0)+IF(AND(3&gt;IF('Ayarlar'!$B$7&lt;=0,99,ROUNDUP(MAX('Proje girdileri'!AC9,ROUNDUP('Proje girdileri'!AD9/'Ayarlar'!$B$7,0))/(52/12),0)),8-3&lt;'Proje girdileri'!AH9),POWER(1-'Proje girdileri'!AT9,8-3),0)+IF(AND(4&gt;IF('Ayarlar'!$B$7&lt;=0,99,ROUNDUP(MAX('Proje girdileri'!AC9,ROUNDUP('Proje girdileri'!AD9/'Ayarlar'!$B$7,0))/(52/12),0)),8-4&lt;'Proje girdileri'!AH9),POWER(1-'Proje girdileri'!AT9,8-4),0)+IF(AND(5&gt;IF('Ayarlar'!$B$7&lt;=0,99,ROUNDUP(MAX('Proje girdileri'!AC9,ROUNDUP('Proje girdileri'!AD9/'Ayarlar'!$B$7,0))/(52/12),0)),8-5&lt;'Proje girdileri'!AH9),POWER(1-'Proje girdileri'!AT9,8-5),0)+IF(AND(6&gt;IF('Ayarlar'!$B$7&lt;=0,99,ROUNDUP(MAX('Proje girdileri'!AC9,ROUNDUP('Proje girdileri'!AD9/'Ayarlar'!$B$7,0))/(52/12),0)),8-6&lt;'Proje girdileri'!AH9),POWER(1-'Proje girdileri'!AT9,8-6),0)+IF(AND(7&gt;IF('Ayarlar'!$B$7&lt;=0,99,ROUNDUP(MAX('Proje girdileri'!AC9,ROUNDUP('Proje girdileri'!AD9/'Ayarlar'!$B$7,0))/(52/12),0)),8-7&lt;'Proje girdileri'!AH9),POWER(1-'Proje girdileri'!AT9,8-7),0)+IF(AND(8&gt;IF('Ayarlar'!$B$7&lt;=0,99,ROUNDUP(MAX('Proje girdileri'!AC9,ROUNDUP('Proje girdileri'!AD9/'Ayarlar'!$B$7,0))/(52/12),0)),8-8&lt;'Proje girdileri'!AH9),POWER(1-'Proje girdileri'!AT9,8-8),0)),IF(8&gt;IF('Ayarlar'!$B$7&lt;=0,99,ROUNDUP(MAX('Proje girdileri'!AC9,ROUNDUP('Proje girdileri'!AD9/'Ayarlar'!$B$7,0))/(52/12),0)),1,0))*('Proje girdileri'!Y9*(1-'Proje girdileri'!AA9-'Proje girdileri'!AB9)-'Proje girdileri'!Z9))-'Proje girdileri'!AJ9)</x:f>
        <x:v>0</x:v>
      </x:c>
      <x:c r="J9" s="24" t="n">
        <x:f>IF(9&gt;'Ayarlar'!$B$6,0,IF(MAX(0,'Ayarlar'!$B$6-IF('Ayarlar'!$B$7&lt;=0,99,ROUNDUP(MAX('Proje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girdileri'!AD9/'Ayarlar'!$B$7,0))/(52/12),0)),9-1&lt;'Proje girdileri'!AH9),POWER(1-'Proje girdileri'!AT9,9-1),0)+IF(AND(2&gt;IF('Ayarlar'!$B$7&lt;=0,99,ROUNDUP(MAX('Proje girdileri'!AC9,ROUNDUP('Proje girdileri'!AD9/'Ayarlar'!$B$7,0))/(52/12),0)),9-2&lt;'Proje girdileri'!AH9),POWER(1-'Proje girdileri'!AT9,9-2),0)+IF(AND(3&gt;IF('Ayarlar'!$B$7&lt;=0,99,ROUNDUP(MAX('Proje girdileri'!AC9,ROUNDUP('Proje girdileri'!AD9/'Ayarlar'!$B$7,0))/(52/12),0)),9-3&lt;'Proje girdileri'!AH9),POWER(1-'Proje girdileri'!AT9,9-3),0)+IF(AND(4&gt;IF('Ayarlar'!$B$7&lt;=0,99,ROUNDUP(MAX('Proje girdileri'!AC9,ROUNDUP('Proje girdileri'!AD9/'Ayarlar'!$B$7,0))/(52/12),0)),9-4&lt;'Proje girdileri'!AH9),POWER(1-'Proje girdileri'!AT9,9-4),0)+IF(AND(5&gt;IF('Ayarlar'!$B$7&lt;=0,99,ROUNDUP(MAX('Proje girdileri'!AC9,ROUNDUP('Proje girdileri'!AD9/'Ayarlar'!$B$7,0))/(52/12),0)),9-5&lt;'Proje girdileri'!AH9),POWER(1-'Proje girdileri'!AT9,9-5),0)+IF(AND(6&gt;IF('Ayarlar'!$B$7&lt;=0,99,ROUNDUP(MAX('Proje girdileri'!AC9,ROUNDUP('Proje girdileri'!AD9/'Ayarlar'!$B$7,0))/(52/12),0)),9-6&lt;'Proje girdileri'!AH9),POWER(1-'Proje girdileri'!AT9,9-6),0)+IF(AND(7&gt;IF('Ayarlar'!$B$7&lt;=0,99,ROUNDUP(MAX('Proje girdileri'!AC9,ROUNDUP('Proje girdileri'!AD9/'Ayarlar'!$B$7,0))/(52/12),0)),9-7&lt;'Proje girdileri'!AH9),POWER(1-'Proje girdileri'!AT9,9-7),0)+IF(AND(8&gt;IF('Ayarlar'!$B$7&lt;=0,99,ROUNDUP(MAX('Proje girdileri'!AC9,ROUNDUP('Proje girdileri'!AD9/'Ayarlar'!$B$7,0))/(52/12),0)),9-8&lt;'Proje girdileri'!AH9),POWER(1-'Proje girdileri'!AT9,9-8),0)+IF(AND(9&gt;IF('Ayarlar'!$B$7&lt;=0,99,ROUNDUP(MAX('Proje girdileri'!AC9,ROUNDUP('Proje girdileri'!AD9/'Ayarlar'!$B$7,0))/(52/12),0)),9-9&lt;'Proje girdileri'!AH9),POWER(1-'Proje girdileri'!AT9,9-9),0)),IF(9&gt;IF('Ayarlar'!$B$7&lt;=0,99,ROUNDUP(MAX('Proje girdileri'!AC9,ROUNDUP('Proje girdileri'!AD9/'Ayarlar'!$B$7,0))/(52/12),0)),1,0))*('Proje girdileri'!Y9*(1-'Proje girdileri'!AA9-'Proje girdileri'!AB9)-'Proje girdileri'!Z9))-'Proje girdileri'!AJ9)</x:f>
        <x:v>0</x:v>
      </x:c>
      <x:c r="K9" s="24" t="n">
        <x:f>IF(10&gt;'Ayarlar'!$B$6,0,IF(MAX(0,'Ayarlar'!$B$6-IF('Ayarlar'!$B$7&lt;=0,99,ROUNDUP(MAX('Proje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girdileri'!AD9/'Ayarlar'!$B$7,0))/(52/12),0)),10-1&lt;'Proje girdileri'!AH9),POWER(1-'Proje girdileri'!AT9,10-1),0)+IF(AND(2&gt;IF('Ayarlar'!$B$7&lt;=0,99,ROUNDUP(MAX('Proje girdileri'!AC9,ROUNDUP('Proje girdileri'!AD9/'Ayarlar'!$B$7,0))/(52/12),0)),10-2&lt;'Proje girdileri'!AH9),POWER(1-'Proje girdileri'!AT9,10-2),0)+IF(AND(3&gt;IF('Ayarlar'!$B$7&lt;=0,99,ROUNDUP(MAX('Proje girdileri'!AC9,ROUNDUP('Proje girdileri'!AD9/'Ayarlar'!$B$7,0))/(52/12),0)),10-3&lt;'Proje girdileri'!AH9),POWER(1-'Proje girdileri'!AT9,10-3),0)+IF(AND(4&gt;IF('Ayarlar'!$B$7&lt;=0,99,ROUNDUP(MAX('Proje girdileri'!AC9,ROUNDUP('Proje girdileri'!AD9/'Ayarlar'!$B$7,0))/(52/12),0)),10-4&lt;'Proje girdileri'!AH9),POWER(1-'Proje girdileri'!AT9,10-4),0)+IF(AND(5&gt;IF('Ayarlar'!$B$7&lt;=0,99,ROUNDUP(MAX('Proje girdileri'!AC9,ROUNDUP('Proje girdileri'!AD9/'Ayarlar'!$B$7,0))/(52/12),0)),10-5&lt;'Proje girdileri'!AH9),POWER(1-'Proje girdileri'!AT9,10-5),0)+IF(AND(6&gt;IF('Ayarlar'!$B$7&lt;=0,99,ROUNDUP(MAX('Proje girdileri'!AC9,ROUNDUP('Proje girdileri'!AD9/'Ayarlar'!$B$7,0))/(52/12),0)),10-6&lt;'Proje girdileri'!AH9),POWER(1-'Proje girdileri'!AT9,10-6),0)+IF(AND(7&gt;IF('Ayarlar'!$B$7&lt;=0,99,ROUNDUP(MAX('Proje girdileri'!AC9,ROUNDUP('Proje girdileri'!AD9/'Ayarlar'!$B$7,0))/(52/12),0)),10-7&lt;'Proje girdileri'!AH9),POWER(1-'Proje girdileri'!AT9,10-7),0)+IF(AND(8&gt;IF('Ayarlar'!$B$7&lt;=0,99,ROUNDUP(MAX('Proje girdileri'!AC9,ROUNDUP('Proje girdileri'!AD9/'Ayarlar'!$B$7,0))/(52/12),0)),10-8&lt;'Proje girdileri'!AH9),POWER(1-'Proje girdileri'!AT9,10-8),0)+IF(AND(9&gt;IF('Ayarlar'!$B$7&lt;=0,99,ROUNDUP(MAX('Proje girdileri'!AC9,ROUNDUP('Proje girdileri'!AD9/'Ayarlar'!$B$7,0))/(52/12),0)),10-9&lt;'Proje girdileri'!AH9),POWER(1-'Proje girdileri'!AT9,10-9),0)+IF(AND(10&gt;IF('Ayarlar'!$B$7&lt;=0,99,ROUNDUP(MAX('Proje girdileri'!AC9,ROUNDUP('Proje girdileri'!AD9/'Ayarlar'!$B$7,0))/(52/12),0)),10-10&lt;'Proje girdileri'!AH9),POWER(1-'Proje girdileri'!AT9,10-10),0)),IF(10&gt;IF('Ayarlar'!$B$7&lt;=0,99,ROUNDUP(MAX('Proje girdileri'!AC9,ROUNDUP('Proje girdileri'!AD9/'Ayarlar'!$B$7,0))/(52/12),0)),1,0))*('Proje girdileri'!Y9*(1-'Proje girdileri'!AA9-'Proje girdileri'!AB9)-'Proje girdileri'!Z9))-'Proje girdileri'!AJ9)</x:f>
        <x:v>0</x:v>
      </x:c>
      <x:c r="L9" s="24" t="n">
        <x:f>IF(11&gt;'Ayarlar'!$B$6,0,IF(MAX(0,'Ayarlar'!$B$6-IF('Ayarlar'!$B$7&lt;=0,99,ROUNDUP(MAX('Proje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girdileri'!AD9/'Ayarlar'!$B$7,0))/(52/12),0)),11-1&lt;'Proje girdileri'!AH9),POWER(1-'Proje girdileri'!AT9,11-1),0)+IF(AND(2&gt;IF('Ayarlar'!$B$7&lt;=0,99,ROUNDUP(MAX('Proje girdileri'!AC9,ROUNDUP('Proje girdileri'!AD9/'Ayarlar'!$B$7,0))/(52/12),0)),11-2&lt;'Proje girdileri'!AH9),POWER(1-'Proje girdileri'!AT9,11-2),0)+IF(AND(3&gt;IF('Ayarlar'!$B$7&lt;=0,99,ROUNDUP(MAX('Proje girdileri'!AC9,ROUNDUP('Proje girdileri'!AD9/'Ayarlar'!$B$7,0))/(52/12),0)),11-3&lt;'Proje girdileri'!AH9),POWER(1-'Proje girdileri'!AT9,11-3),0)+IF(AND(4&gt;IF('Ayarlar'!$B$7&lt;=0,99,ROUNDUP(MAX('Proje girdileri'!AC9,ROUNDUP('Proje girdileri'!AD9/'Ayarlar'!$B$7,0))/(52/12),0)),11-4&lt;'Proje girdileri'!AH9),POWER(1-'Proje girdileri'!AT9,11-4),0)+IF(AND(5&gt;IF('Ayarlar'!$B$7&lt;=0,99,ROUNDUP(MAX('Proje girdileri'!AC9,ROUNDUP('Proje girdileri'!AD9/'Ayarlar'!$B$7,0))/(52/12),0)),11-5&lt;'Proje girdileri'!AH9),POWER(1-'Proje girdileri'!AT9,11-5),0)+IF(AND(6&gt;IF('Ayarlar'!$B$7&lt;=0,99,ROUNDUP(MAX('Proje girdileri'!AC9,ROUNDUP('Proje girdileri'!AD9/'Ayarlar'!$B$7,0))/(52/12),0)),11-6&lt;'Proje girdileri'!AH9),POWER(1-'Proje girdileri'!AT9,11-6),0)+IF(AND(7&gt;IF('Ayarlar'!$B$7&lt;=0,99,ROUNDUP(MAX('Proje girdileri'!AC9,ROUNDUP('Proje girdileri'!AD9/'Ayarlar'!$B$7,0))/(52/12),0)),11-7&lt;'Proje girdileri'!AH9),POWER(1-'Proje girdileri'!AT9,11-7),0)+IF(AND(8&gt;IF('Ayarlar'!$B$7&lt;=0,99,ROUNDUP(MAX('Proje girdileri'!AC9,ROUNDUP('Proje girdileri'!AD9/'Ayarlar'!$B$7,0))/(52/12),0)),11-8&lt;'Proje girdileri'!AH9),POWER(1-'Proje girdileri'!AT9,11-8),0)+IF(AND(9&gt;IF('Ayarlar'!$B$7&lt;=0,99,ROUNDUP(MAX('Proje girdileri'!AC9,ROUNDUP('Proje girdileri'!AD9/'Ayarlar'!$B$7,0))/(52/12),0)),11-9&lt;'Proje girdileri'!AH9),POWER(1-'Proje girdileri'!AT9,11-9),0)+IF(AND(10&gt;IF('Ayarlar'!$B$7&lt;=0,99,ROUNDUP(MAX('Proje girdileri'!AC9,ROUNDUP('Proje girdileri'!AD9/'Ayarlar'!$B$7,0))/(52/12),0)),11-10&lt;'Proje girdileri'!AH9),POWER(1-'Proje girdileri'!AT9,11-10),0)+IF(AND(11&gt;IF('Ayarlar'!$B$7&lt;=0,99,ROUNDUP(MAX('Proje girdileri'!AC9,ROUNDUP('Proje girdileri'!AD9/'Ayarlar'!$B$7,0))/(52/12),0)),11-11&lt;'Proje girdileri'!AH9),POWER(1-'Proje girdileri'!AT9,11-11),0)),IF(11&gt;IF('Ayarlar'!$B$7&lt;=0,99,ROUNDUP(MAX('Proje girdileri'!AC9,ROUNDUP('Proje girdileri'!AD9/'Ayarlar'!$B$7,0))/(52/12),0)),1,0))*('Proje girdileri'!Y9*(1-'Proje girdileri'!AA9-'Proje girdileri'!AB9)-'Proje girdileri'!Z9))-'Proje girdileri'!AJ9)</x:f>
        <x:v>0</x:v>
      </x:c>
      <x:c r="M9" s="24" t="n">
        <x:f>IF(12&gt;'Ayarlar'!$B$6,0,IF(MAX(0,'Ayarlar'!$B$6-IF('Ayarlar'!$B$7&lt;=0,99,ROUNDUP(MAX('Proje girdileri'!AC9,ROUNDUP('Proje girdileri'!AD9/'Ayarlar'!$B$7,0))/(52/12),0)))=0,0,'Hesap'!I9/MAX(0,'Ayarlar'!$B$6-IF('Ayarlar'!$B$7&lt;=0,99,ROUNDUP(MAX('Proje girdileri'!AC9,ROUNDUP('Proje girdileri'!AD9/'Ayarlar'!$B$7,0))/(52/12),0)))*IF('Proje girdileri'!C9="recurring",(IF(AND(1&gt;IF('Ayarlar'!$B$7&lt;=0,99,ROUNDUP(MAX('Proje girdileri'!AC9,ROUNDUP('Proje girdileri'!AD9/'Ayarlar'!$B$7,0))/(52/12),0)),12-1&lt;'Proje girdileri'!AH9),POWER(1-'Proje girdileri'!AT9,12-1),0)+IF(AND(2&gt;IF('Ayarlar'!$B$7&lt;=0,99,ROUNDUP(MAX('Proje girdileri'!AC9,ROUNDUP('Proje girdileri'!AD9/'Ayarlar'!$B$7,0))/(52/12),0)),12-2&lt;'Proje girdileri'!AH9),POWER(1-'Proje girdileri'!AT9,12-2),0)+IF(AND(3&gt;IF('Ayarlar'!$B$7&lt;=0,99,ROUNDUP(MAX('Proje girdileri'!AC9,ROUNDUP('Proje girdileri'!AD9/'Ayarlar'!$B$7,0))/(52/12),0)),12-3&lt;'Proje girdileri'!AH9),POWER(1-'Proje girdileri'!AT9,12-3),0)+IF(AND(4&gt;IF('Ayarlar'!$B$7&lt;=0,99,ROUNDUP(MAX('Proje girdileri'!AC9,ROUNDUP('Proje girdileri'!AD9/'Ayarlar'!$B$7,0))/(52/12),0)),12-4&lt;'Proje girdileri'!AH9),POWER(1-'Proje girdileri'!AT9,12-4),0)+IF(AND(5&gt;IF('Ayarlar'!$B$7&lt;=0,99,ROUNDUP(MAX('Proje girdileri'!AC9,ROUNDUP('Proje girdileri'!AD9/'Ayarlar'!$B$7,0))/(52/12),0)),12-5&lt;'Proje girdileri'!AH9),POWER(1-'Proje girdileri'!AT9,12-5),0)+IF(AND(6&gt;IF('Ayarlar'!$B$7&lt;=0,99,ROUNDUP(MAX('Proje girdileri'!AC9,ROUNDUP('Proje girdileri'!AD9/'Ayarlar'!$B$7,0))/(52/12),0)),12-6&lt;'Proje girdileri'!AH9),POWER(1-'Proje girdileri'!AT9,12-6),0)+IF(AND(7&gt;IF('Ayarlar'!$B$7&lt;=0,99,ROUNDUP(MAX('Proje girdileri'!AC9,ROUNDUP('Proje girdileri'!AD9/'Ayarlar'!$B$7,0))/(52/12),0)),12-7&lt;'Proje girdileri'!AH9),POWER(1-'Proje girdileri'!AT9,12-7),0)+IF(AND(8&gt;IF('Ayarlar'!$B$7&lt;=0,99,ROUNDUP(MAX('Proje girdileri'!AC9,ROUNDUP('Proje girdileri'!AD9/'Ayarlar'!$B$7,0))/(52/12),0)),12-8&lt;'Proje girdileri'!AH9),POWER(1-'Proje girdileri'!AT9,12-8),0)+IF(AND(9&gt;IF('Ayarlar'!$B$7&lt;=0,99,ROUNDUP(MAX('Proje girdileri'!AC9,ROUNDUP('Proje girdileri'!AD9/'Ayarlar'!$B$7,0))/(52/12),0)),12-9&lt;'Proje girdileri'!AH9),POWER(1-'Proje girdileri'!AT9,12-9),0)+IF(AND(10&gt;IF('Ayarlar'!$B$7&lt;=0,99,ROUNDUP(MAX('Proje girdileri'!AC9,ROUNDUP('Proje girdileri'!AD9/'Ayarlar'!$B$7,0))/(52/12),0)),12-10&lt;'Proje girdileri'!AH9),POWER(1-'Proje girdileri'!AT9,12-10),0)+IF(AND(11&gt;IF('Ayarlar'!$B$7&lt;=0,99,ROUNDUP(MAX('Proje girdileri'!AC9,ROUNDUP('Proje girdileri'!AD9/'Ayarlar'!$B$7,0))/(52/12),0)),12-11&lt;'Proje girdileri'!AH9),POWER(1-'Proje girdileri'!AT9,12-11),0)+IF(AND(12&gt;IF('Ayarlar'!$B$7&lt;=0,99,ROUNDUP(MAX('Proje girdileri'!AC9,ROUNDUP('Proje girdileri'!AD9/'Ayarlar'!$B$7,0))/(52/12),0)),12-12&lt;'Proje girdileri'!AH9),POWER(1-'Proje girdileri'!AT9,12-12),0)),IF(12&gt;IF('Ayarlar'!$B$7&lt;=0,99,ROUNDUP(MAX('Proje girdileri'!AC9,ROUNDUP('Proje girdileri'!AD9/'Ayarlar'!$B$7,0))/(52/12),0)),1,0))*('Proje girdileri'!Y9*(1-'Proje girdileri'!AA9-'Proje girdileri'!AB9)-'Proje girdileri'!Z9))-'Proje girdileri'!AJ9)</x:f>
        <x:v>0</x:v>
      </x:c>
      <x:c r="N9" s="24" t="n">
        <x:f>SUM(B9:M9)</x:f>
        <x:v>1480.3999999999999</x:v>
      </x:c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</x:row>
    <x:row r="10" ht="24" customHeight="1">
      <x:c r="A10" s="2" t="str">
        <x:f>'Hesap'!B10</x:f>
        <x:v>Üretici dijital başlangıç</x:v>
      </x:c>
      <x:c r="B10" s="24" t="n">
        <x:f>IF(1&gt;'Ayarlar'!$B$6,0,IF(MAX(0,'Ayarlar'!$B$6-IF('Ayarlar'!$B$7&lt;=0,99,ROUNDUP(MAX('Proje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girdileri'!AD10/'Ayarlar'!$B$7,0))/(52/12),0)),1-1&lt;'Proje girdileri'!AH10),POWER(1-'Proje girdileri'!AT10,1-1),0)),IF(1&gt;IF('Ayarlar'!$B$7&lt;=0,99,ROUNDUP(MAX('Proje girdileri'!AC10,ROUNDUP('Proje girdileri'!AD10/'Ayarlar'!$B$7,0))/(52/12),0)),1,0))*('Proje girdileri'!Y10*(1-'Proje girdileri'!AA10-'Proje girdileri'!AB10)-'Proje girdileri'!Z10))-'Proje girdileri'!AJ10-'Proje girdileri'!AI10)</x:f>
        <x:v>-165</x:v>
      </x:c>
      <x:c r="C10" s="24" t="n">
        <x:f>IF(2&gt;'Ayarlar'!$B$6,0,IF(MAX(0,'Ayarlar'!$B$6-IF('Ayarlar'!$B$7&lt;=0,99,ROUNDUP(MAX('Proje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girdileri'!AD10/'Ayarlar'!$B$7,0))/(52/12),0)),2-1&lt;'Proje girdileri'!AH10),POWER(1-'Proje girdileri'!AT10,2-1),0)+IF(AND(2&gt;IF('Ayarlar'!$B$7&lt;=0,99,ROUNDUP(MAX('Proje girdileri'!AC10,ROUNDUP('Proje girdileri'!AD10/'Ayarlar'!$B$7,0))/(52/12),0)),2-2&lt;'Proje girdileri'!AH10),POWER(1-'Proje girdileri'!AT10,2-2),0)),IF(2&gt;IF('Ayarlar'!$B$7&lt;=0,99,ROUNDUP(MAX('Proje girdileri'!AC10,ROUNDUP('Proje girdileri'!AD10/'Ayarlar'!$B$7,0))/(52/12),0)),1,0))*('Proje girdileri'!Y10*(1-'Proje girdileri'!AA10-'Proje girdileri'!AB10)-'Proje girdileri'!Z10))-'Proje girdileri'!AJ10)</x:f>
        <x:v>376.2</x:v>
      </x:c>
      <x:c r="D10" s="24" t="n">
        <x:f>IF(3&gt;'Ayarlar'!$B$6,0,IF(MAX(0,'Ayarlar'!$B$6-IF('Ayarlar'!$B$7&lt;=0,99,ROUNDUP(MAX('Proje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girdileri'!AD10/'Ayarlar'!$B$7,0))/(52/12),0)),3-1&lt;'Proje girdileri'!AH10),POWER(1-'Proje girdileri'!AT10,3-1),0)+IF(AND(2&gt;IF('Ayarlar'!$B$7&lt;=0,99,ROUNDUP(MAX('Proje girdileri'!AC10,ROUNDUP('Proje girdileri'!AD10/'Ayarlar'!$B$7,0))/(52/12),0)),3-2&lt;'Proje girdileri'!AH10),POWER(1-'Proje girdileri'!AT10,3-2),0)+IF(AND(3&gt;IF('Ayarlar'!$B$7&lt;=0,99,ROUNDUP(MAX('Proje girdileri'!AC10,ROUNDUP('Proje girdileri'!AD10/'Ayarlar'!$B$7,0))/(52/12),0)),3-3&lt;'Proje girdileri'!AH10),POWER(1-'Proje girdileri'!AT10,3-3),0)),IF(3&gt;IF('Ayarlar'!$B$7&lt;=0,99,ROUNDUP(MAX('Proje girdileri'!AC10,ROUNDUP('Proje girdileri'!AD10/'Ayarlar'!$B$7,0))/(52/12),0)),1,0))*('Proje girdileri'!Y10*(1-'Proje girdileri'!AA10-'Proje girdileri'!AB10)-'Proje girdileri'!Z10))-'Proje girdileri'!AJ10)</x:f>
        <x:v>376.2</x:v>
      </x:c>
      <x:c r="E10" s="24" t="n">
        <x:f>IF(4&gt;'Ayarlar'!$B$6,0,IF(MAX(0,'Ayarlar'!$B$6-IF('Ayarlar'!$B$7&lt;=0,99,ROUNDUP(MAX('Proje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girdileri'!AD10/'Ayarlar'!$B$7,0))/(52/12),0)),4-1&lt;'Proje girdileri'!AH10),POWER(1-'Proje girdileri'!AT10,4-1),0)+IF(AND(2&gt;IF('Ayarlar'!$B$7&lt;=0,99,ROUNDUP(MAX('Proje girdileri'!AC10,ROUNDUP('Proje girdileri'!AD10/'Ayarlar'!$B$7,0))/(52/12),0)),4-2&lt;'Proje girdileri'!AH10),POWER(1-'Proje girdileri'!AT10,4-2),0)+IF(AND(3&gt;IF('Ayarlar'!$B$7&lt;=0,99,ROUNDUP(MAX('Proje girdileri'!AC10,ROUNDUP('Proje girdileri'!AD10/'Ayarlar'!$B$7,0))/(52/12),0)),4-3&lt;'Proje girdileri'!AH10),POWER(1-'Proje girdileri'!AT10,4-3),0)+IF(AND(4&gt;IF('Ayarlar'!$B$7&lt;=0,99,ROUNDUP(MAX('Proje girdileri'!AC10,ROUNDUP('Proje girdileri'!AD10/'Ayarlar'!$B$7,0))/(52/12),0)),4-4&lt;'Proje girdileri'!AH10),POWER(1-'Proje girdileri'!AT10,4-4),0)),IF(4&gt;IF('Ayarlar'!$B$7&lt;=0,99,ROUNDUP(MAX('Proje girdileri'!AC10,ROUNDUP('Proje girdileri'!AD10/'Ayarlar'!$B$7,0))/(52/12),0)),1,0))*('Proje girdileri'!Y10*(1-'Proje girdileri'!AA10-'Proje girdileri'!AB10)-'Proje girdileri'!Z10))-'Proje girdileri'!AJ10)</x:f>
        <x:v>376.2</x:v>
      </x:c>
      <x:c r="F10" s="24" t="n">
        <x:f>IF(5&gt;'Ayarlar'!$B$6,0,IF(MAX(0,'Ayarlar'!$B$6-IF('Ayarlar'!$B$7&lt;=0,99,ROUNDUP(MAX('Proje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girdileri'!AD10/'Ayarlar'!$B$7,0))/(52/12),0)),5-1&lt;'Proje girdileri'!AH10),POWER(1-'Proje girdileri'!AT10,5-1),0)+IF(AND(2&gt;IF('Ayarlar'!$B$7&lt;=0,99,ROUNDUP(MAX('Proje girdileri'!AC10,ROUNDUP('Proje girdileri'!AD10/'Ayarlar'!$B$7,0))/(52/12),0)),5-2&lt;'Proje girdileri'!AH10),POWER(1-'Proje girdileri'!AT10,5-2),0)+IF(AND(3&gt;IF('Ayarlar'!$B$7&lt;=0,99,ROUNDUP(MAX('Proje girdileri'!AC10,ROUNDUP('Proje girdileri'!AD10/'Ayarlar'!$B$7,0))/(52/12),0)),5-3&lt;'Proje girdileri'!AH10),POWER(1-'Proje girdileri'!AT10,5-3),0)+IF(AND(4&gt;IF('Ayarlar'!$B$7&lt;=0,99,ROUNDUP(MAX('Proje girdileri'!AC10,ROUNDUP('Proje girdileri'!AD10/'Ayarlar'!$B$7,0))/(52/12),0)),5-4&lt;'Proje girdileri'!AH10),POWER(1-'Proje girdileri'!AT10,5-4),0)+IF(AND(5&gt;IF('Ayarlar'!$B$7&lt;=0,99,ROUNDUP(MAX('Proje girdileri'!AC10,ROUNDUP('Proje girdileri'!AD10/'Ayarlar'!$B$7,0))/(52/12),0)),5-5&lt;'Proje girdileri'!AH10),POWER(1-'Proje girdileri'!AT10,5-5),0)),IF(5&gt;IF('Ayarlar'!$B$7&lt;=0,99,ROUNDUP(MAX('Proje girdileri'!AC10,ROUNDUP('Proje girdileri'!AD10/'Ayarlar'!$B$7,0))/(52/12),0)),1,0))*('Proje girdileri'!Y10*(1-'Proje girdileri'!AA10-'Proje girdileri'!AB10)-'Proje girdileri'!Z10))-'Proje girdileri'!AJ10)</x:f>
        <x:v>376.2</x:v>
      </x:c>
      <x:c r="G10" s="24" t="n">
        <x:f>IF(6&gt;'Ayarlar'!$B$6,0,IF(MAX(0,'Ayarlar'!$B$6-IF('Ayarlar'!$B$7&lt;=0,99,ROUNDUP(MAX('Proje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girdileri'!AD10/'Ayarlar'!$B$7,0))/(52/12),0)),6-1&lt;'Proje girdileri'!AH10),POWER(1-'Proje girdileri'!AT10,6-1),0)+IF(AND(2&gt;IF('Ayarlar'!$B$7&lt;=0,99,ROUNDUP(MAX('Proje girdileri'!AC10,ROUNDUP('Proje girdileri'!AD10/'Ayarlar'!$B$7,0))/(52/12),0)),6-2&lt;'Proje girdileri'!AH10),POWER(1-'Proje girdileri'!AT10,6-2),0)+IF(AND(3&gt;IF('Ayarlar'!$B$7&lt;=0,99,ROUNDUP(MAX('Proje girdileri'!AC10,ROUNDUP('Proje girdileri'!AD10/'Ayarlar'!$B$7,0))/(52/12),0)),6-3&lt;'Proje girdileri'!AH10),POWER(1-'Proje girdileri'!AT10,6-3),0)+IF(AND(4&gt;IF('Ayarlar'!$B$7&lt;=0,99,ROUNDUP(MAX('Proje girdileri'!AC10,ROUNDUP('Proje girdileri'!AD10/'Ayarlar'!$B$7,0))/(52/12),0)),6-4&lt;'Proje girdileri'!AH10),POWER(1-'Proje girdileri'!AT10,6-4),0)+IF(AND(5&gt;IF('Ayarlar'!$B$7&lt;=0,99,ROUNDUP(MAX('Proje girdileri'!AC10,ROUNDUP('Proje girdileri'!AD10/'Ayarlar'!$B$7,0))/(52/12),0)),6-5&lt;'Proje girdileri'!AH10),POWER(1-'Proje girdileri'!AT10,6-5),0)+IF(AND(6&gt;IF('Ayarlar'!$B$7&lt;=0,99,ROUNDUP(MAX('Proje girdileri'!AC10,ROUNDUP('Proje girdileri'!AD10/'Ayarlar'!$B$7,0))/(52/12),0)),6-6&lt;'Proje girdileri'!AH10),POWER(1-'Proje girdileri'!AT10,6-6),0)),IF(6&gt;IF('Ayarlar'!$B$7&lt;=0,99,ROUNDUP(MAX('Proje girdileri'!AC10,ROUNDUP('Proje girdileri'!AD10/'Ayarlar'!$B$7,0))/(52/12),0)),1,0))*('Proje girdileri'!Y10*(1-'Proje girdileri'!AA10-'Proje girdileri'!AB10)-'Proje girdileri'!Z10))-'Proje girdileri'!AJ10)</x:f>
        <x:v>376.2</x:v>
      </x:c>
      <x:c r="H10" s="24" t="n">
        <x:f>IF(7&gt;'Ayarlar'!$B$6,0,IF(MAX(0,'Ayarlar'!$B$6-IF('Ayarlar'!$B$7&lt;=0,99,ROUNDUP(MAX('Proje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girdileri'!AD10/'Ayarlar'!$B$7,0))/(52/12),0)),7-1&lt;'Proje girdileri'!AH10),POWER(1-'Proje girdileri'!AT10,7-1),0)+IF(AND(2&gt;IF('Ayarlar'!$B$7&lt;=0,99,ROUNDUP(MAX('Proje girdileri'!AC10,ROUNDUP('Proje girdileri'!AD10/'Ayarlar'!$B$7,0))/(52/12),0)),7-2&lt;'Proje girdileri'!AH10),POWER(1-'Proje girdileri'!AT10,7-2),0)+IF(AND(3&gt;IF('Ayarlar'!$B$7&lt;=0,99,ROUNDUP(MAX('Proje girdileri'!AC10,ROUNDUP('Proje girdileri'!AD10/'Ayarlar'!$B$7,0))/(52/12),0)),7-3&lt;'Proje girdileri'!AH10),POWER(1-'Proje girdileri'!AT10,7-3),0)+IF(AND(4&gt;IF('Ayarlar'!$B$7&lt;=0,99,ROUNDUP(MAX('Proje girdileri'!AC10,ROUNDUP('Proje girdileri'!AD10/'Ayarlar'!$B$7,0))/(52/12),0)),7-4&lt;'Proje girdileri'!AH10),POWER(1-'Proje girdileri'!AT10,7-4),0)+IF(AND(5&gt;IF('Ayarlar'!$B$7&lt;=0,99,ROUNDUP(MAX('Proje girdileri'!AC10,ROUNDUP('Proje girdileri'!AD10/'Ayarlar'!$B$7,0))/(52/12),0)),7-5&lt;'Proje girdileri'!AH10),POWER(1-'Proje girdileri'!AT10,7-5),0)+IF(AND(6&gt;IF('Ayarlar'!$B$7&lt;=0,99,ROUNDUP(MAX('Proje girdileri'!AC10,ROUNDUP('Proje girdileri'!AD10/'Ayarlar'!$B$7,0))/(52/12),0)),7-6&lt;'Proje girdileri'!AH10),POWER(1-'Proje girdileri'!AT10,7-6),0)+IF(AND(7&gt;IF('Ayarlar'!$B$7&lt;=0,99,ROUNDUP(MAX('Proje girdileri'!AC10,ROUNDUP('Proje girdileri'!AD10/'Ayarlar'!$B$7,0))/(52/12),0)),7-7&lt;'Proje girdileri'!AH10),POWER(1-'Proje girdileri'!AT10,7-7),0)),IF(7&gt;IF('Ayarlar'!$B$7&lt;=0,99,ROUNDUP(MAX('Proje girdileri'!AC10,ROUNDUP('Proje girdileri'!AD10/'Ayarlar'!$B$7,0))/(52/12),0)),1,0))*('Proje girdileri'!Y10*(1-'Proje girdileri'!AA10-'Proje girdileri'!AB10)-'Proje girdileri'!Z10))-'Proje girdileri'!AJ10)</x:f>
        <x:v>0</x:v>
      </x:c>
      <x:c r="I10" s="24" t="n">
        <x:f>IF(8&gt;'Ayarlar'!$B$6,0,IF(MAX(0,'Ayarlar'!$B$6-IF('Ayarlar'!$B$7&lt;=0,99,ROUNDUP(MAX('Proje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girdileri'!AD10/'Ayarlar'!$B$7,0))/(52/12),0)),8-1&lt;'Proje girdileri'!AH10),POWER(1-'Proje girdileri'!AT10,8-1),0)+IF(AND(2&gt;IF('Ayarlar'!$B$7&lt;=0,99,ROUNDUP(MAX('Proje girdileri'!AC10,ROUNDUP('Proje girdileri'!AD10/'Ayarlar'!$B$7,0))/(52/12),0)),8-2&lt;'Proje girdileri'!AH10),POWER(1-'Proje girdileri'!AT10,8-2),0)+IF(AND(3&gt;IF('Ayarlar'!$B$7&lt;=0,99,ROUNDUP(MAX('Proje girdileri'!AC10,ROUNDUP('Proje girdileri'!AD10/'Ayarlar'!$B$7,0))/(52/12),0)),8-3&lt;'Proje girdileri'!AH10),POWER(1-'Proje girdileri'!AT10,8-3),0)+IF(AND(4&gt;IF('Ayarlar'!$B$7&lt;=0,99,ROUNDUP(MAX('Proje girdileri'!AC10,ROUNDUP('Proje girdileri'!AD10/'Ayarlar'!$B$7,0))/(52/12),0)),8-4&lt;'Proje girdileri'!AH10),POWER(1-'Proje girdileri'!AT10,8-4),0)+IF(AND(5&gt;IF('Ayarlar'!$B$7&lt;=0,99,ROUNDUP(MAX('Proje girdileri'!AC10,ROUNDUP('Proje girdileri'!AD10/'Ayarlar'!$B$7,0))/(52/12),0)),8-5&lt;'Proje girdileri'!AH10),POWER(1-'Proje girdileri'!AT10,8-5),0)+IF(AND(6&gt;IF('Ayarlar'!$B$7&lt;=0,99,ROUNDUP(MAX('Proje girdileri'!AC10,ROUNDUP('Proje girdileri'!AD10/'Ayarlar'!$B$7,0))/(52/12),0)),8-6&lt;'Proje girdileri'!AH10),POWER(1-'Proje girdileri'!AT10,8-6),0)+IF(AND(7&gt;IF('Ayarlar'!$B$7&lt;=0,99,ROUNDUP(MAX('Proje girdileri'!AC10,ROUNDUP('Proje girdileri'!AD10/'Ayarlar'!$B$7,0))/(52/12),0)),8-7&lt;'Proje girdileri'!AH10),POWER(1-'Proje girdileri'!AT10,8-7),0)+IF(AND(8&gt;IF('Ayarlar'!$B$7&lt;=0,99,ROUNDUP(MAX('Proje girdileri'!AC10,ROUNDUP('Proje girdileri'!AD10/'Ayarlar'!$B$7,0))/(52/12),0)),8-8&lt;'Proje girdileri'!AH10),POWER(1-'Proje girdileri'!AT10,8-8),0)),IF(8&gt;IF('Ayarlar'!$B$7&lt;=0,99,ROUNDUP(MAX('Proje girdileri'!AC10,ROUNDUP('Proje girdileri'!AD10/'Ayarlar'!$B$7,0))/(52/12),0)),1,0))*('Proje girdileri'!Y10*(1-'Proje girdileri'!AA10-'Proje girdileri'!AB10)-'Proje girdileri'!Z10))-'Proje girdileri'!AJ10)</x:f>
        <x:v>0</x:v>
      </x:c>
      <x:c r="J10" s="24" t="n">
        <x:f>IF(9&gt;'Ayarlar'!$B$6,0,IF(MAX(0,'Ayarlar'!$B$6-IF('Ayarlar'!$B$7&lt;=0,99,ROUNDUP(MAX('Proje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girdileri'!AD10/'Ayarlar'!$B$7,0))/(52/12),0)),9-1&lt;'Proje girdileri'!AH10),POWER(1-'Proje girdileri'!AT10,9-1),0)+IF(AND(2&gt;IF('Ayarlar'!$B$7&lt;=0,99,ROUNDUP(MAX('Proje girdileri'!AC10,ROUNDUP('Proje girdileri'!AD10/'Ayarlar'!$B$7,0))/(52/12),0)),9-2&lt;'Proje girdileri'!AH10),POWER(1-'Proje girdileri'!AT10,9-2),0)+IF(AND(3&gt;IF('Ayarlar'!$B$7&lt;=0,99,ROUNDUP(MAX('Proje girdileri'!AC10,ROUNDUP('Proje girdileri'!AD10/'Ayarlar'!$B$7,0))/(52/12),0)),9-3&lt;'Proje girdileri'!AH10),POWER(1-'Proje girdileri'!AT10,9-3),0)+IF(AND(4&gt;IF('Ayarlar'!$B$7&lt;=0,99,ROUNDUP(MAX('Proje girdileri'!AC10,ROUNDUP('Proje girdileri'!AD10/'Ayarlar'!$B$7,0))/(52/12),0)),9-4&lt;'Proje girdileri'!AH10),POWER(1-'Proje girdileri'!AT10,9-4),0)+IF(AND(5&gt;IF('Ayarlar'!$B$7&lt;=0,99,ROUNDUP(MAX('Proje girdileri'!AC10,ROUNDUP('Proje girdileri'!AD10/'Ayarlar'!$B$7,0))/(52/12),0)),9-5&lt;'Proje girdileri'!AH10),POWER(1-'Proje girdileri'!AT10,9-5),0)+IF(AND(6&gt;IF('Ayarlar'!$B$7&lt;=0,99,ROUNDUP(MAX('Proje girdileri'!AC10,ROUNDUP('Proje girdileri'!AD10/'Ayarlar'!$B$7,0))/(52/12),0)),9-6&lt;'Proje girdileri'!AH10),POWER(1-'Proje girdileri'!AT10,9-6),0)+IF(AND(7&gt;IF('Ayarlar'!$B$7&lt;=0,99,ROUNDUP(MAX('Proje girdileri'!AC10,ROUNDUP('Proje girdileri'!AD10/'Ayarlar'!$B$7,0))/(52/12),0)),9-7&lt;'Proje girdileri'!AH10),POWER(1-'Proje girdileri'!AT10,9-7),0)+IF(AND(8&gt;IF('Ayarlar'!$B$7&lt;=0,99,ROUNDUP(MAX('Proje girdileri'!AC10,ROUNDUP('Proje girdileri'!AD10/'Ayarlar'!$B$7,0))/(52/12),0)),9-8&lt;'Proje girdileri'!AH10),POWER(1-'Proje girdileri'!AT10,9-8),0)+IF(AND(9&gt;IF('Ayarlar'!$B$7&lt;=0,99,ROUNDUP(MAX('Proje girdileri'!AC10,ROUNDUP('Proje girdileri'!AD10/'Ayarlar'!$B$7,0))/(52/12),0)),9-9&lt;'Proje girdileri'!AH10),POWER(1-'Proje girdileri'!AT10,9-9),0)),IF(9&gt;IF('Ayarlar'!$B$7&lt;=0,99,ROUNDUP(MAX('Proje girdileri'!AC10,ROUNDUP('Proje girdileri'!AD10/'Ayarlar'!$B$7,0))/(52/12),0)),1,0))*('Proje girdileri'!Y10*(1-'Proje girdileri'!AA10-'Proje girdileri'!AB10)-'Proje girdileri'!Z10))-'Proje girdileri'!AJ10)</x:f>
        <x:v>0</x:v>
      </x:c>
      <x:c r="K10" s="24" t="n">
        <x:f>IF(10&gt;'Ayarlar'!$B$6,0,IF(MAX(0,'Ayarlar'!$B$6-IF('Ayarlar'!$B$7&lt;=0,99,ROUNDUP(MAX('Proje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girdileri'!AD10/'Ayarlar'!$B$7,0))/(52/12),0)),10-1&lt;'Proje girdileri'!AH10),POWER(1-'Proje girdileri'!AT10,10-1),0)+IF(AND(2&gt;IF('Ayarlar'!$B$7&lt;=0,99,ROUNDUP(MAX('Proje girdileri'!AC10,ROUNDUP('Proje girdileri'!AD10/'Ayarlar'!$B$7,0))/(52/12),0)),10-2&lt;'Proje girdileri'!AH10),POWER(1-'Proje girdileri'!AT10,10-2),0)+IF(AND(3&gt;IF('Ayarlar'!$B$7&lt;=0,99,ROUNDUP(MAX('Proje girdileri'!AC10,ROUNDUP('Proje girdileri'!AD10/'Ayarlar'!$B$7,0))/(52/12),0)),10-3&lt;'Proje girdileri'!AH10),POWER(1-'Proje girdileri'!AT10,10-3),0)+IF(AND(4&gt;IF('Ayarlar'!$B$7&lt;=0,99,ROUNDUP(MAX('Proje girdileri'!AC10,ROUNDUP('Proje girdileri'!AD10/'Ayarlar'!$B$7,0))/(52/12),0)),10-4&lt;'Proje girdileri'!AH10),POWER(1-'Proje girdileri'!AT10,10-4),0)+IF(AND(5&gt;IF('Ayarlar'!$B$7&lt;=0,99,ROUNDUP(MAX('Proje girdileri'!AC10,ROUNDUP('Proje girdileri'!AD10/'Ayarlar'!$B$7,0))/(52/12),0)),10-5&lt;'Proje girdileri'!AH10),POWER(1-'Proje girdileri'!AT10,10-5),0)+IF(AND(6&gt;IF('Ayarlar'!$B$7&lt;=0,99,ROUNDUP(MAX('Proje girdileri'!AC10,ROUNDUP('Proje girdileri'!AD10/'Ayarlar'!$B$7,0))/(52/12),0)),10-6&lt;'Proje girdileri'!AH10),POWER(1-'Proje girdileri'!AT10,10-6),0)+IF(AND(7&gt;IF('Ayarlar'!$B$7&lt;=0,99,ROUNDUP(MAX('Proje girdileri'!AC10,ROUNDUP('Proje girdileri'!AD10/'Ayarlar'!$B$7,0))/(52/12),0)),10-7&lt;'Proje girdileri'!AH10),POWER(1-'Proje girdileri'!AT10,10-7),0)+IF(AND(8&gt;IF('Ayarlar'!$B$7&lt;=0,99,ROUNDUP(MAX('Proje girdileri'!AC10,ROUNDUP('Proje girdileri'!AD10/'Ayarlar'!$B$7,0))/(52/12),0)),10-8&lt;'Proje girdileri'!AH10),POWER(1-'Proje girdileri'!AT10,10-8),0)+IF(AND(9&gt;IF('Ayarlar'!$B$7&lt;=0,99,ROUNDUP(MAX('Proje girdileri'!AC10,ROUNDUP('Proje girdileri'!AD10/'Ayarlar'!$B$7,0))/(52/12),0)),10-9&lt;'Proje girdileri'!AH10),POWER(1-'Proje girdileri'!AT10,10-9),0)+IF(AND(10&gt;IF('Ayarlar'!$B$7&lt;=0,99,ROUNDUP(MAX('Proje girdileri'!AC10,ROUNDUP('Proje girdileri'!AD10/'Ayarlar'!$B$7,0))/(52/12),0)),10-10&lt;'Proje girdileri'!AH10),POWER(1-'Proje girdileri'!AT10,10-10),0)),IF(10&gt;IF('Ayarlar'!$B$7&lt;=0,99,ROUNDUP(MAX('Proje girdileri'!AC10,ROUNDUP('Proje girdileri'!AD10/'Ayarlar'!$B$7,0))/(52/12),0)),1,0))*('Proje girdileri'!Y10*(1-'Proje girdileri'!AA10-'Proje girdileri'!AB10)-'Proje girdileri'!Z10))-'Proje girdileri'!AJ10)</x:f>
        <x:v>0</x:v>
      </x:c>
      <x:c r="L10" s="24" t="n">
        <x:f>IF(11&gt;'Ayarlar'!$B$6,0,IF(MAX(0,'Ayarlar'!$B$6-IF('Ayarlar'!$B$7&lt;=0,99,ROUNDUP(MAX('Proje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girdileri'!AD10/'Ayarlar'!$B$7,0))/(52/12),0)),11-1&lt;'Proje girdileri'!AH10),POWER(1-'Proje girdileri'!AT10,11-1),0)+IF(AND(2&gt;IF('Ayarlar'!$B$7&lt;=0,99,ROUNDUP(MAX('Proje girdileri'!AC10,ROUNDUP('Proje girdileri'!AD10/'Ayarlar'!$B$7,0))/(52/12),0)),11-2&lt;'Proje girdileri'!AH10),POWER(1-'Proje girdileri'!AT10,11-2),0)+IF(AND(3&gt;IF('Ayarlar'!$B$7&lt;=0,99,ROUNDUP(MAX('Proje girdileri'!AC10,ROUNDUP('Proje girdileri'!AD10/'Ayarlar'!$B$7,0))/(52/12),0)),11-3&lt;'Proje girdileri'!AH10),POWER(1-'Proje girdileri'!AT10,11-3),0)+IF(AND(4&gt;IF('Ayarlar'!$B$7&lt;=0,99,ROUNDUP(MAX('Proje girdileri'!AC10,ROUNDUP('Proje girdileri'!AD10/'Ayarlar'!$B$7,0))/(52/12),0)),11-4&lt;'Proje girdileri'!AH10),POWER(1-'Proje girdileri'!AT10,11-4),0)+IF(AND(5&gt;IF('Ayarlar'!$B$7&lt;=0,99,ROUNDUP(MAX('Proje girdileri'!AC10,ROUNDUP('Proje girdileri'!AD10/'Ayarlar'!$B$7,0))/(52/12),0)),11-5&lt;'Proje girdileri'!AH10),POWER(1-'Proje girdileri'!AT10,11-5),0)+IF(AND(6&gt;IF('Ayarlar'!$B$7&lt;=0,99,ROUNDUP(MAX('Proje girdileri'!AC10,ROUNDUP('Proje girdileri'!AD10/'Ayarlar'!$B$7,0))/(52/12),0)),11-6&lt;'Proje girdileri'!AH10),POWER(1-'Proje girdileri'!AT10,11-6),0)+IF(AND(7&gt;IF('Ayarlar'!$B$7&lt;=0,99,ROUNDUP(MAX('Proje girdileri'!AC10,ROUNDUP('Proje girdileri'!AD10/'Ayarlar'!$B$7,0))/(52/12),0)),11-7&lt;'Proje girdileri'!AH10),POWER(1-'Proje girdileri'!AT10,11-7),0)+IF(AND(8&gt;IF('Ayarlar'!$B$7&lt;=0,99,ROUNDUP(MAX('Proje girdileri'!AC10,ROUNDUP('Proje girdileri'!AD10/'Ayarlar'!$B$7,0))/(52/12),0)),11-8&lt;'Proje girdileri'!AH10),POWER(1-'Proje girdileri'!AT10,11-8),0)+IF(AND(9&gt;IF('Ayarlar'!$B$7&lt;=0,99,ROUNDUP(MAX('Proje girdileri'!AC10,ROUNDUP('Proje girdileri'!AD10/'Ayarlar'!$B$7,0))/(52/12),0)),11-9&lt;'Proje girdileri'!AH10),POWER(1-'Proje girdileri'!AT10,11-9),0)+IF(AND(10&gt;IF('Ayarlar'!$B$7&lt;=0,99,ROUNDUP(MAX('Proje girdileri'!AC10,ROUNDUP('Proje girdileri'!AD10/'Ayarlar'!$B$7,0))/(52/12),0)),11-10&lt;'Proje girdileri'!AH10),POWER(1-'Proje girdileri'!AT10,11-10),0)+IF(AND(11&gt;IF('Ayarlar'!$B$7&lt;=0,99,ROUNDUP(MAX('Proje girdileri'!AC10,ROUNDUP('Proje girdileri'!AD10/'Ayarlar'!$B$7,0))/(52/12),0)),11-11&lt;'Proje girdileri'!AH10),POWER(1-'Proje girdileri'!AT10,11-11),0)),IF(11&gt;IF('Ayarlar'!$B$7&lt;=0,99,ROUNDUP(MAX('Proje girdileri'!AC10,ROUNDUP('Proje girdileri'!AD10/'Ayarlar'!$B$7,0))/(52/12),0)),1,0))*('Proje girdileri'!Y10*(1-'Proje girdileri'!AA10-'Proje girdileri'!AB10)-'Proje girdileri'!Z10))-'Proje girdileri'!AJ10)</x:f>
        <x:v>0</x:v>
      </x:c>
      <x:c r="M10" s="24" t="n">
        <x:f>IF(12&gt;'Ayarlar'!$B$6,0,IF(MAX(0,'Ayarlar'!$B$6-IF('Ayarlar'!$B$7&lt;=0,99,ROUNDUP(MAX('Proje girdileri'!AC10,ROUNDUP('Proje girdileri'!AD10/'Ayarlar'!$B$7,0))/(52/12),0)))=0,0,'Hesap'!I10/MAX(0,'Ayarlar'!$B$6-IF('Ayarlar'!$B$7&lt;=0,99,ROUNDUP(MAX('Proje girdileri'!AC10,ROUNDUP('Proje girdileri'!AD10/'Ayarlar'!$B$7,0))/(52/12),0)))*IF('Proje girdileri'!C10="recurring",(IF(AND(1&gt;IF('Ayarlar'!$B$7&lt;=0,99,ROUNDUP(MAX('Proje girdileri'!AC10,ROUNDUP('Proje girdileri'!AD10/'Ayarlar'!$B$7,0))/(52/12),0)),12-1&lt;'Proje girdileri'!AH10),POWER(1-'Proje girdileri'!AT10,12-1),0)+IF(AND(2&gt;IF('Ayarlar'!$B$7&lt;=0,99,ROUNDUP(MAX('Proje girdileri'!AC10,ROUNDUP('Proje girdileri'!AD10/'Ayarlar'!$B$7,0))/(52/12),0)),12-2&lt;'Proje girdileri'!AH10),POWER(1-'Proje girdileri'!AT10,12-2),0)+IF(AND(3&gt;IF('Ayarlar'!$B$7&lt;=0,99,ROUNDUP(MAX('Proje girdileri'!AC10,ROUNDUP('Proje girdileri'!AD10/'Ayarlar'!$B$7,0))/(52/12),0)),12-3&lt;'Proje girdileri'!AH10),POWER(1-'Proje girdileri'!AT10,12-3),0)+IF(AND(4&gt;IF('Ayarlar'!$B$7&lt;=0,99,ROUNDUP(MAX('Proje girdileri'!AC10,ROUNDUP('Proje girdileri'!AD10/'Ayarlar'!$B$7,0))/(52/12),0)),12-4&lt;'Proje girdileri'!AH10),POWER(1-'Proje girdileri'!AT10,12-4),0)+IF(AND(5&gt;IF('Ayarlar'!$B$7&lt;=0,99,ROUNDUP(MAX('Proje girdileri'!AC10,ROUNDUP('Proje girdileri'!AD10/'Ayarlar'!$B$7,0))/(52/12),0)),12-5&lt;'Proje girdileri'!AH10),POWER(1-'Proje girdileri'!AT10,12-5),0)+IF(AND(6&gt;IF('Ayarlar'!$B$7&lt;=0,99,ROUNDUP(MAX('Proje girdileri'!AC10,ROUNDUP('Proje girdileri'!AD10/'Ayarlar'!$B$7,0))/(52/12),0)),12-6&lt;'Proje girdileri'!AH10),POWER(1-'Proje girdileri'!AT10,12-6),0)+IF(AND(7&gt;IF('Ayarlar'!$B$7&lt;=0,99,ROUNDUP(MAX('Proje girdileri'!AC10,ROUNDUP('Proje girdileri'!AD10/'Ayarlar'!$B$7,0))/(52/12),0)),12-7&lt;'Proje girdileri'!AH10),POWER(1-'Proje girdileri'!AT10,12-7),0)+IF(AND(8&gt;IF('Ayarlar'!$B$7&lt;=0,99,ROUNDUP(MAX('Proje girdileri'!AC10,ROUNDUP('Proje girdileri'!AD10/'Ayarlar'!$B$7,0))/(52/12),0)),12-8&lt;'Proje girdileri'!AH10),POWER(1-'Proje girdileri'!AT10,12-8),0)+IF(AND(9&gt;IF('Ayarlar'!$B$7&lt;=0,99,ROUNDUP(MAX('Proje girdileri'!AC10,ROUNDUP('Proje girdileri'!AD10/'Ayarlar'!$B$7,0))/(52/12),0)),12-9&lt;'Proje girdileri'!AH10),POWER(1-'Proje girdileri'!AT10,12-9),0)+IF(AND(10&gt;IF('Ayarlar'!$B$7&lt;=0,99,ROUNDUP(MAX('Proje girdileri'!AC10,ROUNDUP('Proje girdileri'!AD10/'Ayarlar'!$B$7,0))/(52/12),0)),12-10&lt;'Proje girdileri'!AH10),POWER(1-'Proje girdileri'!AT10,12-10),0)+IF(AND(11&gt;IF('Ayarlar'!$B$7&lt;=0,99,ROUNDUP(MAX('Proje girdileri'!AC10,ROUNDUP('Proje girdileri'!AD10/'Ayarlar'!$B$7,0))/(52/12),0)),12-11&lt;'Proje girdileri'!AH10),POWER(1-'Proje girdileri'!AT10,12-11),0)+IF(AND(12&gt;IF('Ayarlar'!$B$7&lt;=0,99,ROUNDUP(MAX('Proje girdileri'!AC10,ROUNDUP('Proje girdileri'!AD10/'Ayarlar'!$B$7,0))/(52/12),0)),12-12&lt;'Proje girdileri'!AH10),POWER(1-'Proje girdileri'!AT10,12-12),0)),IF(12&gt;IF('Ayarlar'!$B$7&lt;=0,99,ROUNDUP(MAX('Proje girdileri'!AC10,ROUNDUP('Proje girdileri'!AD10/'Ayarlar'!$B$7,0))/(52/12),0)),1,0))*('Proje girdileri'!Y10*(1-'Proje girdileri'!AA10-'Proje girdileri'!AB10)-'Proje girdileri'!Z10))-'Proje girdileri'!AJ10)</x:f>
        <x:v>0</x:v>
      </x:c>
      <x:c r="N10" s="24" t="n">
        <x:f>SUM(B10:M10)</x:f>
        <x:v>1716</x:v>
      </x:c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</x:row>
    <x:row r="11" ht="24" customHeight="1">
      <x:c r="A11" s="2" t="str">
        <x:f>'Hesap'!B11</x:f>
        <x:v>AtonotA AgencyOps</x:v>
      </x:c>
      <x:c r="B11" s="24" t="n">
        <x:f>IF(1&gt;'Ayarlar'!$B$6,0,IF(MAX(0,'Ayarlar'!$B$6-IF('Ayarlar'!$B$7&lt;=0,99,ROUNDUP(MAX('Proje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girdileri'!AD11/'Ayarlar'!$B$7,0))/(52/12),0)),1-1&lt;'Proje girdileri'!AH11),POWER(1-'Proje girdileri'!AT11,1-1),0)),IF(1&gt;IF('Ayarlar'!$B$7&lt;=0,99,ROUNDUP(MAX('Proje girdileri'!AC11,ROUNDUP('Proje girdileri'!AD11/'Ayarlar'!$B$7,0))/(52/12),0)),1,0))*('Proje girdileri'!Y11*(1-'Proje girdileri'!AA11-'Proje girdileri'!AB11)-'Proje girdileri'!Z11))-'Proje girdileri'!AJ11-'Proje girdileri'!AI11)</x:f>
        <x:v>-270</x:v>
      </x:c>
      <x:c r="C11" s="24" t="n">
        <x:f>IF(2&gt;'Ayarlar'!$B$6,0,IF(MAX(0,'Ayarlar'!$B$6-IF('Ayarlar'!$B$7&lt;=0,99,ROUNDUP(MAX('Proje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girdileri'!AD11/'Ayarlar'!$B$7,0))/(52/12),0)),2-1&lt;'Proje girdileri'!AH11),POWER(1-'Proje girdileri'!AT11,2-1),0)+IF(AND(2&gt;IF('Ayarlar'!$B$7&lt;=0,99,ROUNDUP(MAX('Proje girdileri'!AC11,ROUNDUP('Proje girdileri'!AD11/'Ayarlar'!$B$7,0))/(52/12),0)),2-2&lt;'Proje girdileri'!AH11),POWER(1-'Proje girdileri'!AT11,2-2),0)),IF(2&gt;IF('Ayarlar'!$B$7&lt;=0,99,ROUNDUP(MAX('Proje girdileri'!AC11,ROUNDUP('Proje girdileri'!AD11/'Ayarlar'!$B$7,0))/(52/12),0)),1,0))*('Proje girdileri'!Y11*(1-'Proje girdileri'!AA11-'Proje girdileri'!AB11)-'Proje girdileri'!Z11))-'Proje girdileri'!AJ11)</x:f>
        <x:v>-20</x:v>
      </x:c>
      <x:c r="D11" s="24" t="n">
        <x:f>IF(3&gt;'Ayarlar'!$B$6,0,IF(MAX(0,'Ayarlar'!$B$6-IF('Ayarlar'!$B$7&lt;=0,99,ROUNDUP(MAX('Proje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girdileri'!AD11/'Ayarlar'!$B$7,0))/(52/12),0)),3-1&lt;'Proje girdileri'!AH11),POWER(1-'Proje girdileri'!AT11,3-1),0)+IF(AND(2&gt;IF('Ayarlar'!$B$7&lt;=0,99,ROUNDUP(MAX('Proje girdileri'!AC11,ROUNDUP('Proje girdileri'!AD11/'Ayarlar'!$B$7,0))/(52/12),0)),3-2&lt;'Proje girdileri'!AH11),POWER(1-'Proje girdileri'!AT11,3-2),0)+IF(AND(3&gt;IF('Ayarlar'!$B$7&lt;=0,99,ROUNDUP(MAX('Proje girdileri'!AC11,ROUNDUP('Proje girdileri'!AD11/'Ayarlar'!$B$7,0))/(52/12),0)),3-3&lt;'Proje girdileri'!AH11),POWER(1-'Proje girdileri'!AT11,3-3),0)),IF(3&gt;IF('Ayarlar'!$B$7&lt;=0,99,ROUNDUP(MAX('Proje girdileri'!AC11,ROUNDUP('Proje girdileri'!AD11/'Ayarlar'!$B$7,0))/(52/12),0)),1,0))*('Proje girdileri'!Y11*(1-'Proje girdileri'!AA11-'Proje girdileri'!AB11)-'Proje girdileri'!Z11))-'Proje girdileri'!AJ11)</x:f>
        <x:v>-20</x:v>
      </x:c>
      <x:c r="E11" s="24" t="n">
        <x:f>IF(4&gt;'Ayarlar'!$B$6,0,IF(MAX(0,'Ayarlar'!$B$6-IF('Ayarlar'!$B$7&lt;=0,99,ROUNDUP(MAX('Proje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girdileri'!AD11/'Ayarlar'!$B$7,0))/(52/12),0)),4-1&lt;'Proje girdileri'!AH11),POWER(1-'Proje girdileri'!AT11,4-1),0)+IF(AND(2&gt;IF('Ayarlar'!$B$7&lt;=0,99,ROUNDUP(MAX('Proje girdileri'!AC11,ROUNDUP('Proje girdileri'!AD11/'Ayarlar'!$B$7,0))/(52/12),0)),4-2&lt;'Proje girdileri'!AH11),POWER(1-'Proje girdileri'!AT11,4-2),0)+IF(AND(3&gt;IF('Ayarlar'!$B$7&lt;=0,99,ROUNDUP(MAX('Proje girdileri'!AC11,ROUNDUP('Proje girdileri'!AD11/'Ayarlar'!$B$7,0))/(52/12),0)),4-3&lt;'Proje girdileri'!AH11),POWER(1-'Proje girdileri'!AT11,4-3),0)+IF(AND(4&gt;IF('Ayarlar'!$B$7&lt;=0,99,ROUNDUP(MAX('Proje girdileri'!AC11,ROUNDUP('Proje girdileri'!AD11/'Ayarlar'!$B$7,0))/(52/12),0)),4-4&lt;'Proje girdileri'!AH11),POWER(1-'Proje girdileri'!AT11,4-4),0)),IF(4&gt;IF('Ayarlar'!$B$7&lt;=0,99,ROUNDUP(MAX('Proje girdileri'!AC11,ROUNDUP('Proje girdileri'!AD11/'Ayarlar'!$B$7,0))/(52/12),0)),1,0))*('Proje girdileri'!Y11*(1-'Proje girdileri'!AA11-'Proje girdileri'!AB11)-'Proje girdileri'!Z11))-'Proje girdileri'!AJ11)</x:f>
        <x:v>-20</x:v>
      </x:c>
      <x:c r="F11" s="24" t="n">
        <x:f>IF(5&gt;'Ayarlar'!$B$6,0,IF(MAX(0,'Ayarlar'!$B$6-IF('Ayarlar'!$B$7&lt;=0,99,ROUNDUP(MAX('Proje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girdileri'!AD11/'Ayarlar'!$B$7,0))/(52/12),0)),5-1&lt;'Proje girdileri'!AH11),POWER(1-'Proje girdileri'!AT11,5-1),0)+IF(AND(2&gt;IF('Ayarlar'!$B$7&lt;=0,99,ROUNDUP(MAX('Proje girdileri'!AC11,ROUNDUP('Proje girdileri'!AD11/'Ayarlar'!$B$7,0))/(52/12),0)),5-2&lt;'Proje girdileri'!AH11),POWER(1-'Proje girdileri'!AT11,5-2),0)+IF(AND(3&gt;IF('Ayarlar'!$B$7&lt;=0,99,ROUNDUP(MAX('Proje girdileri'!AC11,ROUNDUP('Proje girdileri'!AD11/'Ayarlar'!$B$7,0))/(52/12),0)),5-3&lt;'Proje girdileri'!AH11),POWER(1-'Proje girdileri'!AT11,5-3),0)+IF(AND(4&gt;IF('Ayarlar'!$B$7&lt;=0,99,ROUNDUP(MAX('Proje girdileri'!AC11,ROUNDUP('Proje girdileri'!AD11/'Ayarlar'!$B$7,0))/(52/12),0)),5-4&lt;'Proje girdileri'!AH11),POWER(1-'Proje girdileri'!AT11,5-4),0)+IF(AND(5&gt;IF('Ayarlar'!$B$7&lt;=0,99,ROUNDUP(MAX('Proje girdileri'!AC11,ROUNDUP('Proje girdileri'!AD11/'Ayarlar'!$B$7,0))/(52/12),0)),5-5&lt;'Proje girdileri'!AH11),POWER(1-'Proje girdileri'!AT11,5-5),0)),IF(5&gt;IF('Ayarlar'!$B$7&lt;=0,99,ROUNDUP(MAX('Proje girdileri'!AC11,ROUNDUP('Proje girdileri'!AD11/'Ayarlar'!$B$7,0))/(52/12),0)),1,0))*('Proje girdileri'!Y11*(1-'Proje girdileri'!AA11-'Proje girdileri'!AB11)-'Proje girdileri'!Z11))-'Proje girdileri'!AJ11)</x:f>
        <x:v>167.48</x:v>
      </x:c>
      <x:c r="G11" s="24" t="n">
        <x:f>IF(6&gt;'Ayarlar'!$B$6,0,IF(MAX(0,'Ayarlar'!$B$6-IF('Ayarlar'!$B$7&lt;=0,99,ROUNDUP(MAX('Proje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girdileri'!AD11/'Ayarlar'!$B$7,0))/(52/12),0)),6-1&lt;'Proje girdileri'!AH11),POWER(1-'Proje girdileri'!AT11,6-1),0)+IF(AND(2&gt;IF('Ayarlar'!$B$7&lt;=0,99,ROUNDUP(MAX('Proje girdileri'!AC11,ROUNDUP('Proje girdileri'!AD11/'Ayarlar'!$B$7,0))/(52/12),0)),6-2&lt;'Proje girdileri'!AH11),POWER(1-'Proje girdileri'!AT11,6-2),0)+IF(AND(3&gt;IF('Ayarlar'!$B$7&lt;=0,99,ROUNDUP(MAX('Proje girdileri'!AC11,ROUNDUP('Proje girdileri'!AD11/'Ayarlar'!$B$7,0))/(52/12),0)),6-3&lt;'Proje girdileri'!AH11),POWER(1-'Proje girdileri'!AT11,6-3),0)+IF(AND(4&gt;IF('Ayarlar'!$B$7&lt;=0,99,ROUNDUP(MAX('Proje girdileri'!AC11,ROUNDUP('Proje girdileri'!AD11/'Ayarlar'!$B$7,0))/(52/12),0)),6-4&lt;'Proje girdileri'!AH11),POWER(1-'Proje girdileri'!AT11,6-4),0)+IF(AND(5&gt;IF('Ayarlar'!$B$7&lt;=0,99,ROUNDUP(MAX('Proje girdileri'!AC11,ROUNDUP('Proje girdileri'!AD11/'Ayarlar'!$B$7,0))/(52/12),0)),6-5&lt;'Proje girdileri'!AH11),POWER(1-'Proje girdileri'!AT11,6-5),0)+IF(AND(6&gt;IF('Ayarlar'!$B$7&lt;=0,99,ROUNDUP(MAX('Proje girdileri'!AC11,ROUNDUP('Proje girdileri'!AD11/'Ayarlar'!$B$7,0))/(52/12),0)),6-6&lt;'Proje girdileri'!AH11),POWER(1-'Proje girdileri'!AT11,6-6),0)),IF(6&gt;IF('Ayarlar'!$B$7&lt;=0,99,ROUNDUP(MAX('Proje girdileri'!AC11,ROUNDUP('Proje girdileri'!AD11/'Ayarlar'!$B$7,0))/(52/12),0)),1,0))*('Proje girdileri'!Y11*(1-'Proje girdileri'!AA11-'Proje girdileri'!AB11)-'Proje girdileri'!Z11))-'Proje girdileri'!AJ11)</x:f>
        <x:v>345.58599999999996</x:v>
      </x:c>
      <x:c r="H11" s="24" t="n">
        <x:f>IF(7&gt;'Ayarlar'!$B$6,0,IF(MAX(0,'Ayarlar'!$B$6-IF('Ayarlar'!$B$7&lt;=0,99,ROUNDUP(MAX('Proje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girdileri'!AD11/'Ayarlar'!$B$7,0))/(52/12),0)),7-1&lt;'Proje girdileri'!AH11),POWER(1-'Proje girdileri'!AT11,7-1),0)+IF(AND(2&gt;IF('Ayarlar'!$B$7&lt;=0,99,ROUNDUP(MAX('Proje girdileri'!AC11,ROUNDUP('Proje girdileri'!AD11/'Ayarlar'!$B$7,0))/(52/12),0)),7-2&lt;'Proje girdileri'!AH11),POWER(1-'Proje girdileri'!AT11,7-2),0)+IF(AND(3&gt;IF('Ayarlar'!$B$7&lt;=0,99,ROUNDUP(MAX('Proje girdileri'!AC11,ROUNDUP('Proje girdileri'!AD11/'Ayarlar'!$B$7,0))/(52/12),0)),7-3&lt;'Proje girdileri'!AH11),POWER(1-'Proje girdileri'!AT11,7-3),0)+IF(AND(4&gt;IF('Ayarlar'!$B$7&lt;=0,99,ROUNDUP(MAX('Proje girdileri'!AC11,ROUNDUP('Proje girdileri'!AD11/'Ayarlar'!$B$7,0))/(52/12),0)),7-4&lt;'Proje girdileri'!AH11),POWER(1-'Proje girdileri'!AT11,7-4),0)+IF(AND(5&gt;IF('Ayarlar'!$B$7&lt;=0,99,ROUNDUP(MAX('Proje girdileri'!AC11,ROUNDUP('Proje girdileri'!AD11/'Ayarlar'!$B$7,0))/(52/12),0)),7-5&lt;'Proje girdileri'!AH11),POWER(1-'Proje girdileri'!AT11,7-5),0)+IF(AND(6&gt;IF('Ayarlar'!$B$7&lt;=0,99,ROUNDUP(MAX('Proje girdileri'!AC11,ROUNDUP('Proje girdileri'!AD11/'Ayarlar'!$B$7,0))/(52/12),0)),7-6&lt;'Proje girdileri'!AH11),POWER(1-'Proje girdileri'!AT11,7-6),0)+IF(AND(7&gt;IF('Ayarlar'!$B$7&lt;=0,99,ROUNDUP(MAX('Proje girdileri'!AC11,ROUNDUP('Proje girdileri'!AD11/'Ayarlar'!$B$7,0))/(52/12),0)),7-7&lt;'Proje girdileri'!AH11),POWER(1-'Proje girdileri'!AT11,7-7),0)),IF(7&gt;IF('Ayarlar'!$B$7&lt;=0,99,ROUNDUP(MAX('Proje girdileri'!AC11,ROUNDUP('Proje girdileri'!AD11/'Ayarlar'!$B$7,0))/(52/12),0)),1,0))*('Proje girdileri'!Y11*(1-'Proje girdileri'!AA11-'Proje girdileri'!AB11)-'Proje girdileri'!Z11))-'Proje girdileri'!AJ11)</x:f>
        <x:v>0</x:v>
      </x:c>
      <x:c r="I11" s="24" t="n">
        <x:f>IF(8&gt;'Ayarlar'!$B$6,0,IF(MAX(0,'Ayarlar'!$B$6-IF('Ayarlar'!$B$7&lt;=0,99,ROUNDUP(MAX('Proje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girdileri'!AD11/'Ayarlar'!$B$7,0))/(52/12),0)),8-1&lt;'Proje girdileri'!AH11),POWER(1-'Proje girdileri'!AT11,8-1),0)+IF(AND(2&gt;IF('Ayarlar'!$B$7&lt;=0,99,ROUNDUP(MAX('Proje girdileri'!AC11,ROUNDUP('Proje girdileri'!AD11/'Ayarlar'!$B$7,0))/(52/12),0)),8-2&lt;'Proje girdileri'!AH11),POWER(1-'Proje girdileri'!AT11,8-2),0)+IF(AND(3&gt;IF('Ayarlar'!$B$7&lt;=0,99,ROUNDUP(MAX('Proje girdileri'!AC11,ROUNDUP('Proje girdileri'!AD11/'Ayarlar'!$B$7,0))/(52/12),0)),8-3&lt;'Proje girdileri'!AH11),POWER(1-'Proje girdileri'!AT11,8-3),0)+IF(AND(4&gt;IF('Ayarlar'!$B$7&lt;=0,99,ROUNDUP(MAX('Proje girdileri'!AC11,ROUNDUP('Proje girdileri'!AD11/'Ayarlar'!$B$7,0))/(52/12),0)),8-4&lt;'Proje girdileri'!AH11),POWER(1-'Proje girdileri'!AT11,8-4),0)+IF(AND(5&gt;IF('Ayarlar'!$B$7&lt;=0,99,ROUNDUP(MAX('Proje girdileri'!AC11,ROUNDUP('Proje girdileri'!AD11/'Ayarlar'!$B$7,0))/(52/12),0)),8-5&lt;'Proje girdileri'!AH11),POWER(1-'Proje girdileri'!AT11,8-5),0)+IF(AND(6&gt;IF('Ayarlar'!$B$7&lt;=0,99,ROUNDUP(MAX('Proje girdileri'!AC11,ROUNDUP('Proje girdileri'!AD11/'Ayarlar'!$B$7,0))/(52/12),0)),8-6&lt;'Proje girdileri'!AH11),POWER(1-'Proje girdileri'!AT11,8-6),0)+IF(AND(7&gt;IF('Ayarlar'!$B$7&lt;=0,99,ROUNDUP(MAX('Proje girdileri'!AC11,ROUNDUP('Proje girdileri'!AD11/'Ayarlar'!$B$7,0))/(52/12),0)),8-7&lt;'Proje girdileri'!AH11),POWER(1-'Proje girdileri'!AT11,8-7),0)+IF(AND(8&gt;IF('Ayarlar'!$B$7&lt;=0,99,ROUNDUP(MAX('Proje girdileri'!AC11,ROUNDUP('Proje girdileri'!AD11/'Ayarlar'!$B$7,0))/(52/12),0)),8-8&lt;'Proje girdileri'!AH11),POWER(1-'Proje girdileri'!AT11,8-8),0)),IF(8&gt;IF('Ayarlar'!$B$7&lt;=0,99,ROUNDUP(MAX('Proje girdileri'!AC11,ROUNDUP('Proje girdileri'!AD11/'Ayarlar'!$B$7,0))/(52/12),0)),1,0))*('Proje girdileri'!Y11*(1-'Proje girdileri'!AA11-'Proje girdileri'!AB11)-'Proje girdileri'!Z11))-'Proje girdileri'!AJ11)</x:f>
        <x:v>0</x:v>
      </x:c>
      <x:c r="J11" s="24" t="n">
        <x:f>IF(9&gt;'Ayarlar'!$B$6,0,IF(MAX(0,'Ayarlar'!$B$6-IF('Ayarlar'!$B$7&lt;=0,99,ROUNDUP(MAX('Proje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girdileri'!AD11/'Ayarlar'!$B$7,0))/(52/12),0)),9-1&lt;'Proje girdileri'!AH11),POWER(1-'Proje girdileri'!AT11,9-1),0)+IF(AND(2&gt;IF('Ayarlar'!$B$7&lt;=0,99,ROUNDUP(MAX('Proje girdileri'!AC11,ROUNDUP('Proje girdileri'!AD11/'Ayarlar'!$B$7,0))/(52/12),0)),9-2&lt;'Proje girdileri'!AH11),POWER(1-'Proje girdileri'!AT11,9-2),0)+IF(AND(3&gt;IF('Ayarlar'!$B$7&lt;=0,99,ROUNDUP(MAX('Proje girdileri'!AC11,ROUNDUP('Proje girdileri'!AD11/'Ayarlar'!$B$7,0))/(52/12),0)),9-3&lt;'Proje girdileri'!AH11),POWER(1-'Proje girdileri'!AT11,9-3),0)+IF(AND(4&gt;IF('Ayarlar'!$B$7&lt;=0,99,ROUNDUP(MAX('Proje girdileri'!AC11,ROUNDUP('Proje girdileri'!AD11/'Ayarlar'!$B$7,0))/(52/12),0)),9-4&lt;'Proje girdileri'!AH11),POWER(1-'Proje girdileri'!AT11,9-4),0)+IF(AND(5&gt;IF('Ayarlar'!$B$7&lt;=0,99,ROUNDUP(MAX('Proje girdileri'!AC11,ROUNDUP('Proje girdileri'!AD11/'Ayarlar'!$B$7,0))/(52/12),0)),9-5&lt;'Proje girdileri'!AH11),POWER(1-'Proje girdileri'!AT11,9-5),0)+IF(AND(6&gt;IF('Ayarlar'!$B$7&lt;=0,99,ROUNDUP(MAX('Proje girdileri'!AC11,ROUNDUP('Proje girdileri'!AD11/'Ayarlar'!$B$7,0))/(52/12),0)),9-6&lt;'Proje girdileri'!AH11),POWER(1-'Proje girdileri'!AT11,9-6),0)+IF(AND(7&gt;IF('Ayarlar'!$B$7&lt;=0,99,ROUNDUP(MAX('Proje girdileri'!AC11,ROUNDUP('Proje girdileri'!AD11/'Ayarlar'!$B$7,0))/(52/12),0)),9-7&lt;'Proje girdileri'!AH11),POWER(1-'Proje girdileri'!AT11,9-7),0)+IF(AND(8&gt;IF('Ayarlar'!$B$7&lt;=0,99,ROUNDUP(MAX('Proje girdileri'!AC11,ROUNDUP('Proje girdileri'!AD11/'Ayarlar'!$B$7,0))/(52/12),0)),9-8&lt;'Proje girdileri'!AH11),POWER(1-'Proje girdileri'!AT11,9-8),0)+IF(AND(9&gt;IF('Ayarlar'!$B$7&lt;=0,99,ROUNDUP(MAX('Proje girdileri'!AC11,ROUNDUP('Proje girdileri'!AD11/'Ayarlar'!$B$7,0))/(52/12),0)),9-9&lt;'Proje girdileri'!AH11),POWER(1-'Proje girdileri'!AT11,9-9),0)),IF(9&gt;IF('Ayarlar'!$B$7&lt;=0,99,ROUNDUP(MAX('Proje girdileri'!AC11,ROUNDUP('Proje girdileri'!AD11/'Ayarlar'!$B$7,0))/(52/12),0)),1,0))*('Proje girdileri'!Y11*(1-'Proje girdileri'!AA11-'Proje girdileri'!AB11)-'Proje girdileri'!Z11))-'Proje girdileri'!AJ11)</x:f>
        <x:v>0</x:v>
      </x:c>
      <x:c r="K11" s="24" t="n">
        <x:f>IF(10&gt;'Ayarlar'!$B$6,0,IF(MAX(0,'Ayarlar'!$B$6-IF('Ayarlar'!$B$7&lt;=0,99,ROUNDUP(MAX('Proje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girdileri'!AD11/'Ayarlar'!$B$7,0))/(52/12),0)),10-1&lt;'Proje girdileri'!AH11),POWER(1-'Proje girdileri'!AT11,10-1),0)+IF(AND(2&gt;IF('Ayarlar'!$B$7&lt;=0,99,ROUNDUP(MAX('Proje girdileri'!AC11,ROUNDUP('Proje girdileri'!AD11/'Ayarlar'!$B$7,0))/(52/12),0)),10-2&lt;'Proje girdileri'!AH11),POWER(1-'Proje girdileri'!AT11,10-2),0)+IF(AND(3&gt;IF('Ayarlar'!$B$7&lt;=0,99,ROUNDUP(MAX('Proje girdileri'!AC11,ROUNDUP('Proje girdileri'!AD11/'Ayarlar'!$B$7,0))/(52/12),0)),10-3&lt;'Proje girdileri'!AH11),POWER(1-'Proje girdileri'!AT11,10-3),0)+IF(AND(4&gt;IF('Ayarlar'!$B$7&lt;=0,99,ROUNDUP(MAX('Proje girdileri'!AC11,ROUNDUP('Proje girdileri'!AD11/'Ayarlar'!$B$7,0))/(52/12),0)),10-4&lt;'Proje girdileri'!AH11),POWER(1-'Proje girdileri'!AT11,10-4),0)+IF(AND(5&gt;IF('Ayarlar'!$B$7&lt;=0,99,ROUNDUP(MAX('Proje girdileri'!AC11,ROUNDUP('Proje girdileri'!AD11/'Ayarlar'!$B$7,0))/(52/12),0)),10-5&lt;'Proje girdileri'!AH11),POWER(1-'Proje girdileri'!AT11,10-5),0)+IF(AND(6&gt;IF('Ayarlar'!$B$7&lt;=0,99,ROUNDUP(MAX('Proje girdileri'!AC11,ROUNDUP('Proje girdileri'!AD11/'Ayarlar'!$B$7,0))/(52/12),0)),10-6&lt;'Proje girdileri'!AH11),POWER(1-'Proje girdileri'!AT11,10-6),0)+IF(AND(7&gt;IF('Ayarlar'!$B$7&lt;=0,99,ROUNDUP(MAX('Proje girdileri'!AC11,ROUNDUP('Proje girdileri'!AD11/'Ayarlar'!$B$7,0))/(52/12),0)),10-7&lt;'Proje girdileri'!AH11),POWER(1-'Proje girdileri'!AT11,10-7),0)+IF(AND(8&gt;IF('Ayarlar'!$B$7&lt;=0,99,ROUNDUP(MAX('Proje girdileri'!AC11,ROUNDUP('Proje girdileri'!AD11/'Ayarlar'!$B$7,0))/(52/12),0)),10-8&lt;'Proje girdileri'!AH11),POWER(1-'Proje girdileri'!AT11,10-8),0)+IF(AND(9&gt;IF('Ayarlar'!$B$7&lt;=0,99,ROUNDUP(MAX('Proje girdileri'!AC11,ROUNDUP('Proje girdileri'!AD11/'Ayarlar'!$B$7,0))/(52/12),0)),10-9&lt;'Proje girdileri'!AH11),POWER(1-'Proje girdileri'!AT11,10-9),0)+IF(AND(10&gt;IF('Ayarlar'!$B$7&lt;=0,99,ROUNDUP(MAX('Proje girdileri'!AC11,ROUNDUP('Proje girdileri'!AD11/'Ayarlar'!$B$7,0))/(52/12),0)),10-10&lt;'Proje girdileri'!AH11),POWER(1-'Proje girdileri'!AT11,10-10),0)),IF(10&gt;IF('Ayarlar'!$B$7&lt;=0,99,ROUNDUP(MAX('Proje girdileri'!AC11,ROUNDUP('Proje girdileri'!AD11/'Ayarlar'!$B$7,0))/(52/12),0)),1,0))*('Proje girdileri'!Y11*(1-'Proje girdileri'!AA11-'Proje girdileri'!AB11)-'Proje girdileri'!Z11))-'Proje girdileri'!AJ11)</x:f>
        <x:v>0</x:v>
      </x:c>
      <x:c r="L11" s="24" t="n">
        <x:f>IF(11&gt;'Ayarlar'!$B$6,0,IF(MAX(0,'Ayarlar'!$B$6-IF('Ayarlar'!$B$7&lt;=0,99,ROUNDUP(MAX('Proje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girdileri'!AD11/'Ayarlar'!$B$7,0))/(52/12),0)),11-1&lt;'Proje girdileri'!AH11),POWER(1-'Proje girdileri'!AT11,11-1),0)+IF(AND(2&gt;IF('Ayarlar'!$B$7&lt;=0,99,ROUNDUP(MAX('Proje girdileri'!AC11,ROUNDUP('Proje girdileri'!AD11/'Ayarlar'!$B$7,0))/(52/12),0)),11-2&lt;'Proje girdileri'!AH11),POWER(1-'Proje girdileri'!AT11,11-2),0)+IF(AND(3&gt;IF('Ayarlar'!$B$7&lt;=0,99,ROUNDUP(MAX('Proje girdileri'!AC11,ROUNDUP('Proje girdileri'!AD11/'Ayarlar'!$B$7,0))/(52/12),0)),11-3&lt;'Proje girdileri'!AH11),POWER(1-'Proje girdileri'!AT11,11-3),0)+IF(AND(4&gt;IF('Ayarlar'!$B$7&lt;=0,99,ROUNDUP(MAX('Proje girdileri'!AC11,ROUNDUP('Proje girdileri'!AD11/'Ayarlar'!$B$7,0))/(52/12),0)),11-4&lt;'Proje girdileri'!AH11),POWER(1-'Proje girdileri'!AT11,11-4),0)+IF(AND(5&gt;IF('Ayarlar'!$B$7&lt;=0,99,ROUNDUP(MAX('Proje girdileri'!AC11,ROUNDUP('Proje girdileri'!AD11/'Ayarlar'!$B$7,0))/(52/12),0)),11-5&lt;'Proje girdileri'!AH11),POWER(1-'Proje girdileri'!AT11,11-5),0)+IF(AND(6&gt;IF('Ayarlar'!$B$7&lt;=0,99,ROUNDUP(MAX('Proje girdileri'!AC11,ROUNDUP('Proje girdileri'!AD11/'Ayarlar'!$B$7,0))/(52/12),0)),11-6&lt;'Proje girdileri'!AH11),POWER(1-'Proje girdileri'!AT11,11-6),0)+IF(AND(7&gt;IF('Ayarlar'!$B$7&lt;=0,99,ROUNDUP(MAX('Proje girdileri'!AC11,ROUNDUP('Proje girdileri'!AD11/'Ayarlar'!$B$7,0))/(52/12),0)),11-7&lt;'Proje girdileri'!AH11),POWER(1-'Proje girdileri'!AT11,11-7),0)+IF(AND(8&gt;IF('Ayarlar'!$B$7&lt;=0,99,ROUNDUP(MAX('Proje girdileri'!AC11,ROUNDUP('Proje girdileri'!AD11/'Ayarlar'!$B$7,0))/(52/12),0)),11-8&lt;'Proje girdileri'!AH11),POWER(1-'Proje girdileri'!AT11,11-8),0)+IF(AND(9&gt;IF('Ayarlar'!$B$7&lt;=0,99,ROUNDUP(MAX('Proje girdileri'!AC11,ROUNDUP('Proje girdileri'!AD11/'Ayarlar'!$B$7,0))/(52/12),0)),11-9&lt;'Proje girdileri'!AH11),POWER(1-'Proje girdileri'!AT11,11-9),0)+IF(AND(10&gt;IF('Ayarlar'!$B$7&lt;=0,99,ROUNDUP(MAX('Proje girdileri'!AC11,ROUNDUP('Proje girdileri'!AD11/'Ayarlar'!$B$7,0))/(52/12),0)),11-10&lt;'Proje girdileri'!AH11),POWER(1-'Proje girdileri'!AT11,11-10),0)+IF(AND(11&gt;IF('Ayarlar'!$B$7&lt;=0,99,ROUNDUP(MAX('Proje girdileri'!AC11,ROUNDUP('Proje girdileri'!AD11/'Ayarlar'!$B$7,0))/(52/12),0)),11-11&lt;'Proje girdileri'!AH11),POWER(1-'Proje girdileri'!AT11,11-11),0)),IF(11&gt;IF('Ayarlar'!$B$7&lt;=0,99,ROUNDUP(MAX('Proje girdileri'!AC11,ROUNDUP('Proje girdileri'!AD11/'Ayarlar'!$B$7,0))/(52/12),0)),1,0))*('Proje girdileri'!Y11*(1-'Proje girdileri'!AA11-'Proje girdileri'!AB11)-'Proje girdileri'!Z11))-'Proje girdileri'!AJ11)</x:f>
        <x:v>0</x:v>
      </x:c>
      <x:c r="M11" s="24" t="n">
        <x:f>IF(12&gt;'Ayarlar'!$B$6,0,IF(MAX(0,'Ayarlar'!$B$6-IF('Ayarlar'!$B$7&lt;=0,99,ROUNDUP(MAX('Proje girdileri'!AC11,ROUNDUP('Proje girdileri'!AD11/'Ayarlar'!$B$7,0))/(52/12),0)))=0,0,'Hesap'!I11/MAX(0,'Ayarlar'!$B$6-IF('Ayarlar'!$B$7&lt;=0,99,ROUNDUP(MAX('Proje girdileri'!AC11,ROUNDUP('Proje girdileri'!AD11/'Ayarlar'!$B$7,0))/(52/12),0)))*IF('Proje girdileri'!C11="recurring",(IF(AND(1&gt;IF('Ayarlar'!$B$7&lt;=0,99,ROUNDUP(MAX('Proje girdileri'!AC11,ROUNDUP('Proje girdileri'!AD11/'Ayarlar'!$B$7,0))/(52/12),0)),12-1&lt;'Proje girdileri'!AH11),POWER(1-'Proje girdileri'!AT11,12-1),0)+IF(AND(2&gt;IF('Ayarlar'!$B$7&lt;=0,99,ROUNDUP(MAX('Proje girdileri'!AC11,ROUNDUP('Proje girdileri'!AD11/'Ayarlar'!$B$7,0))/(52/12),0)),12-2&lt;'Proje girdileri'!AH11),POWER(1-'Proje girdileri'!AT11,12-2),0)+IF(AND(3&gt;IF('Ayarlar'!$B$7&lt;=0,99,ROUNDUP(MAX('Proje girdileri'!AC11,ROUNDUP('Proje girdileri'!AD11/'Ayarlar'!$B$7,0))/(52/12),0)),12-3&lt;'Proje girdileri'!AH11),POWER(1-'Proje girdileri'!AT11,12-3),0)+IF(AND(4&gt;IF('Ayarlar'!$B$7&lt;=0,99,ROUNDUP(MAX('Proje girdileri'!AC11,ROUNDUP('Proje girdileri'!AD11/'Ayarlar'!$B$7,0))/(52/12),0)),12-4&lt;'Proje girdileri'!AH11),POWER(1-'Proje girdileri'!AT11,12-4),0)+IF(AND(5&gt;IF('Ayarlar'!$B$7&lt;=0,99,ROUNDUP(MAX('Proje girdileri'!AC11,ROUNDUP('Proje girdileri'!AD11/'Ayarlar'!$B$7,0))/(52/12),0)),12-5&lt;'Proje girdileri'!AH11),POWER(1-'Proje girdileri'!AT11,12-5),0)+IF(AND(6&gt;IF('Ayarlar'!$B$7&lt;=0,99,ROUNDUP(MAX('Proje girdileri'!AC11,ROUNDUP('Proje girdileri'!AD11/'Ayarlar'!$B$7,0))/(52/12),0)),12-6&lt;'Proje girdileri'!AH11),POWER(1-'Proje girdileri'!AT11,12-6),0)+IF(AND(7&gt;IF('Ayarlar'!$B$7&lt;=0,99,ROUNDUP(MAX('Proje girdileri'!AC11,ROUNDUP('Proje girdileri'!AD11/'Ayarlar'!$B$7,0))/(52/12),0)),12-7&lt;'Proje girdileri'!AH11),POWER(1-'Proje girdileri'!AT11,12-7),0)+IF(AND(8&gt;IF('Ayarlar'!$B$7&lt;=0,99,ROUNDUP(MAX('Proje girdileri'!AC11,ROUNDUP('Proje girdileri'!AD11/'Ayarlar'!$B$7,0))/(52/12),0)),12-8&lt;'Proje girdileri'!AH11),POWER(1-'Proje girdileri'!AT11,12-8),0)+IF(AND(9&gt;IF('Ayarlar'!$B$7&lt;=0,99,ROUNDUP(MAX('Proje girdileri'!AC11,ROUNDUP('Proje girdileri'!AD11/'Ayarlar'!$B$7,0))/(52/12),0)),12-9&lt;'Proje girdileri'!AH11),POWER(1-'Proje girdileri'!AT11,12-9),0)+IF(AND(10&gt;IF('Ayarlar'!$B$7&lt;=0,99,ROUNDUP(MAX('Proje girdileri'!AC11,ROUNDUP('Proje girdileri'!AD11/'Ayarlar'!$B$7,0))/(52/12),0)),12-10&lt;'Proje girdileri'!AH11),POWER(1-'Proje girdileri'!AT11,12-10),0)+IF(AND(11&gt;IF('Ayarlar'!$B$7&lt;=0,99,ROUNDUP(MAX('Proje girdileri'!AC11,ROUNDUP('Proje girdileri'!AD11/'Ayarlar'!$B$7,0))/(52/12),0)),12-11&lt;'Proje girdileri'!AH11),POWER(1-'Proje girdileri'!AT11,12-11),0)+IF(AND(12&gt;IF('Ayarlar'!$B$7&lt;=0,99,ROUNDUP(MAX('Proje girdileri'!AC11,ROUNDUP('Proje girdileri'!AD11/'Ayarlar'!$B$7,0))/(52/12),0)),12-12&lt;'Proje girdileri'!AH11),POWER(1-'Proje girdileri'!AT11,12-12),0)),IF(12&gt;IF('Ayarlar'!$B$7&lt;=0,99,ROUNDUP(MAX('Proje girdileri'!AC11,ROUNDUP('Proje girdileri'!AD11/'Ayarlar'!$B$7,0))/(52/12),0)),1,0))*('Proje girdileri'!Y11*(1-'Proje girdileri'!AA11-'Proje girdileri'!AB11)-'Proje girdileri'!Z11))-'Proje girdileri'!AJ11)</x:f>
        <x:v>0</x:v>
      </x:c>
      <x:c r="N11" s="24" t="n">
        <x:f>SUM(B11:M11)</x:f>
        <x:v>183.06599999999995</x:v>
      </x:c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  <x:c r="AN11" s="2"/>
      <x:c r="AO11" s="2"/>
    </x:row>
    <x:row r="12" ht="24" customHeight="1">
      <x:c r="A12" s="2" t="str">
        <x:f>'Hesap'!B12</x:f>
        <x:v>Ürün/animasyon blokları</x:v>
      </x:c>
      <x:c r="B12" s="24" t="n">
        <x:f>IF(1&gt;'Ayarlar'!$B$6,0,IF(MAX(0,'Ayarlar'!$B$6-IF('Ayarlar'!$B$7&lt;=0,99,ROUNDUP(MAX('Proje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girdileri'!AD12/'Ayarlar'!$B$7,0))/(52/12),0)),1-1&lt;'Proje girdileri'!AH12),POWER(1-'Proje girdileri'!AT12,1-1),0)),IF(1&gt;IF('Ayarlar'!$B$7&lt;=0,99,ROUNDUP(MAX('Proje girdileri'!AC12,ROUNDUP('Proje girdileri'!AD12/'Ayarlar'!$B$7,0))/(52/12),0)),1,0))*('Proje girdileri'!Y12*(1-'Proje girdileri'!AA12-'Proje girdileri'!AB12)-'Proje girdileri'!Z12))-'Proje girdileri'!AJ12-'Proje girdileri'!AI12)</x:f>
        <x:v>-83</x:v>
      </x:c>
      <x:c r="C12" s="24" t="n">
        <x:f>IF(2&gt;'Ayarlar'!$B$6,0,IF(MAX(0,'Ayarlar'!$B$6-IF('Ayarlar'!$B$7&lt;=0,99,ROUNDUP(MAX('Proje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girdileri'!AD12/'Ayarlar'!$B$7,0))/(52/12),0)),2-1&lt;'Proje girdileri'!AH12),POWER(1-'Proje girdileri'!AT12,2-1),0)+IF(AND(2&gt;IF('Ayarlar'!$B$7&lt;=0,99,ROUNDUP(MAX('Proje girdileri'!AC12,ROUNDUP('Proje girdileri'!AD12/'Ayarlar'!$B$7,0))/(52/12),0)),2-2&lt;'Proje girdileri'!AH12),POWER(1-'Proje girdileri'!AT12,2-2),0)),IF(2&gt;IF('Ayarlar'!$B$7&lt;=0,99,ROUNDUP(MAX('Proje girdileri'!AC12,ROUNDUP('Proje girdileri'!AD12/'Ayarlar'!$B$7,0))/(52/12),0)),1,0))*('Proje girdileri'!Y12*(1-'Proje girdileri'!AA12-'Proje girdileri'!AB12)-'Proje girdileri'!Z12))-'Proje girdileri'!AJ12)</x:f>
        <x:v>-8</x:v>
      </x:c>
      <x:c r="D12" s="24" t="n">
        <x:f>IF(3&gt;'Ayarlar'!$B$6,0,IF(MAX(0,'Ayarlar'!$B$6-IF('Ayarlar'!$B$7&lt;=0,99,ROUNDUP(MAX('Proje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girdileri'!AD12/'Ayarlar'!$B$7,0))/(52/12),0)),3-1&lt;'Proje girdileri'!AH12),POWER(1-'Proje girdileri'!AT12,3-1),0)+IF(AND(2&gt;IF('Ayarlar'!$B$7&lt;=0,99,ROUNDUP(MAX('Proje girdileri'!AC12,ROUNDUP('Proje girdileri'!AD12/'Ayarlar'!$B$7,0))/(52/12),0)),3-2&lt;'Proje girdileri'!AH12),POWER(1-'Proje girdileri'!AT12,3-2),0)+IF(AND(3&gt;IF('Ayarlar'!$B$7&lt;=0,99,ROUNDUP(MAX('Proje girdileri'!AC12,ROUNDUP('Proje girdileri'!AD12/'Ayarlar'!$B$7,0))/(52/12),0)),3-3&lt;'Proje girdileri'!AH12),POWER(1-'Proje girdileri'!AT12,3-3),0)),IF(3&gt;IF('Ayarlar'!$B$7&lt;=0,99,ROUNDUP(MAX('Proje girdileri'!AC12,ROUNDUP('Proje girdileri'!AD12/'Ayarlar'!$B$7,0))/(52/12),0)),1,0))*('Proje girdileri'!Y12*(1-'Proje girdileri'!AA12-'Proje girdileri'!AB12)-'Proje girdileri'!Z12))-'Proje girdileri'!AJ12)</x:f>
        <x:v>116.12499999999997</x:v>
      </x:c>
      <x:c r="E12" s="24" t="n">
        <x:f>IF(4&gt;'Ayarlar'!$B$6,0,IF(MAX(0,'Ayarlar'!$B$6-IF('Ayarlar'!$B$7&lt;=0,99,ROUNDUP(MAX('Proje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girdileri'!AD12/'Ayarlar'!$B$7,0))/(52/12),0)),4-1&lt;'Proje girdileri'!AH12),POWER(1-'Proje girdileri'!AT12,4-1),0)+IF(AND(2&gt;IF('Ayarlar'!$B$7&lt;=0,99,ROUNDUP(MAX('Proje girdileri'!AC12,ROUNDUP('Proje girdileri'!AD12/'Ayarlar'!$B$7,0))/(52/12),0)),4-2&lt;'Proje girdileri'!AH12),POWER(1-'Proje girdileri'!AT12,4-2),0)+IF(AND(3&gt;IF('Ayarlar'!$B$7&lt;=0,99,ROUNDUP(MAX('Proje girdileri'!AC12,ROUNDUP('Proje girdileri'!AD12/'Ayarlar'!$B$7,0))/(52/12),0)),4-3&lt;'Proje girdileri'!AH12),POWER(1-'Proje girdileri'!AT12,4-3),0)+IF(AND(4&gt;IF('Ayarlar'!$B$7&lt;=0,99,ROUNDUP(MAX('Proje girdileri'!AC12,ROUNDUP('Proje girdileri'!AD12/'Ayarlar'!$B$7,0))/(52/12),0)),4-4&lt;'Proje girdileri'!AH12),POWER(1-'Proje girdileri'!AT12,4-4),0)),IF(4&gt;IF('Ayarlar'!$B$7&lt;=0,99,ROUNDUP(MAX('Proje girdileri'!AC12,ROUNDUP('Proje girdileri'!AD12/'Ayarlar'!$B$7,0))/(52/12),0)),1,0))*('Proje girdileri'!Y12*(1-'Proje girdileri'!AA12-'Proje girdileri'!AB12)-'Proje girdileri'!Z12))-'Proje girdileri'!AJ12)</x:f>
        <x:v>116.12499999999997</x:v>
      </x:c>
      <x:c r="F12" s="24" t="n">
        <x:f>IF(5&gt;'Ayarlar'!$B$6,0,IF(MAX(0,'Ayarlar'!$B$6-IF('Ayarlar'!$B$7&lt;=0,99,ROUNDUP(MAX('Proje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girdileri'!AD12/'Ayarlar'!$B$7,0))/(52/12),0)),5-1&lt;'Proje girdileri'!AH12),POWER(1-'Proje girdileri'!AT12,5-1),0)+IF(AND(2&gt;IF('Ayarlar'!$B$7&lt;=0,99,ROUNDUP(MAX('Proje girdileri'!AC12,ROUNDUP('Proje girdileri'!AD12/'Ayarlar'!$B$7,0))/(52/12),0)),5-2&lt;'Proje girdileri'!AH12),POWER(1-'Proje girdileri'!AT12,5-2),0)+IF(AND(3&gt;IF('Ayarlar'!$B$7&lt;=0,99,ROUNDUP(MAX('Proje girdileri'!AC12,ROUNDUP('Proje girdileri'!AD12/'Ayarlar'!$B$7,0))/(52/12),0)),5-3&lt;'Proje girdileri'!AH12),POWER(1-'Proje girdileri'!AT12,5-3),0)+IF(AND(4&gt;IF('Ayarlar'!$B$7&lt;=0,99,ROUNDUP(MAX('Proje girdileri'!AC12,ROUNDUP('Proje girdileri'!AD12/'Ayarlar'!$B$7,0))/(52/12),0)),5-4&lt;'Proje girdileri'!AH12),POWER(1-'Proje girdileri'!AT12,5-4),0)+IF(AND(5&gt;IF('Ayarlar'!$B$7&lt;=0,99,ROUNDUP(MAX('Proje girdileri'!AC12,ROUNDUP('Proje girdileri'!AD12/'Ayarlar'!$B$7,0))/(52/12),0)),5-5&lt;'Proje girdileri'!AH12),POWER(1-'Proje girdileri'!AT12,5-5),0)),IF(5&gt;IF('Ayarlar'!$B$7&lt;=0,99,ROUNDUP(MAX('Proje girdileri'!AC12,ROUNDUP('Proje girdileri'!AD12/'Ayarlar'!$B$7,0))/(52/12),0)),1,0))*('Proje girdileri'!Y12*(1-'Proje girdileri'!AA12-'Proje girdileri'!AB12)-'Proje girdileri'!Z12))-'Proje girdileri'!AJ12)</x:f>
        <x:v>116.12499999999997</x:v>
      </x:c>
      <x:c r="G12" s="24" t="n">
        <x:f>IF(6&gt;'Ayarlar'!$B$6,0,IF(MAX(0,'Ayarlar'!$B$6-IF('Ayarlar'!$B$7&lt;=0,99,ROUNDUP(MAX('Proje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girdileri'!AD12/'Ayarlar'!$B$7,0))/(52/12),0)),6-1&lt;'Proje girdileri'!AH12),POWER(1-'Proje girdileri'!AT12,6-1),0)+IF(AND(2&gt;IF('Ayarlar'!$B$7&lt;=0,99,ROUNDUP(MAX('Proje girdileri'!AC12,ROUNDUP('Proje girdileri'!AD12/'Ayarlar'!$B$7,0))/(52/12),0)),6-2&lt;'Proje girdileri'!AH12),POWER(1-'Proje girdileri'!AT12,6-2),0)+IF(AND(3&gt;IF('Ayarlar'!$B$7&lt;=0,99,ROUNDUP(MAX('Proje girdileri'!AC12,ROUNDUP('Proje girdileri'!AD12/'Ayarlar'!$B$7,0))/(52/12),0)),6-3&lt;'Proje girdileri'!AH12),POWER(1-'Proje girdileri'!AT12,6-3),0)+IF(AND(4&gt;IF('Ayarlar'!$B$7&lt;=0,99,ROUNDUP(MAX('Proje girdileri'!AC12,ROUNDUP('Proje girdileri'!AD12/'Ayarlar'!$B$7,0))/(52/12),0)),6-4&lt;'Proje girdileri'!AH12),POWER(1-'Proje girdileri'!AT12,6-4),0)+IF(AND(5&gt;IF('Ayarlar'!$B$7&lt;=0,99,ROUNDUP(MAX('Proje girdileri'!AC12,ROUNDUP('Proje girdileri'!AD12/'Ayarlar'!$B$7,0))/(52/12),0)),6-5&lt;'Proje girdileri'!AH12),POWER(1-'Proje girdileri'!AT12,6-5),0)+IF(AND(6&gt;IF('Ayarlar'!$B$7&lt;=0,99,ROUNDUP(MAX('Proje girdileri'!AC12,ROUNDUP('Proje girdileri'!AD12/'Ayarlar'!$B$7,0))/(52/12),0)),6-6&lt;'Proje girdileri'!AH12),POWER(1-'Proje girdileri'!AT12,6-6),0)),IF(6&gt;IF('Ayarlar'!$B$7&lt;=0,99,ROUNDUP(MAX('Proje girdileri'!AC12,ROUNDUP('Proje girdileri'!AD12/'Ayarlar'!$B$7,0))/(52/12),0)),1,0))*('Proje girdileri'!Y12*(1-'Proje girdileri'!AA12-'Proje girdileri'!AB12)-'Proje girdileri'!Z12))-'Proje girdileri'!AJ12)</x:f>
        <x:v>116.12499999999997</x:v>
      </x:c>
      <x:c r="H12" s="24" t="n">
        <x:f>IF(7&gt;'Ayarlar'!$B$6,0,IF(MAX(0,'Ayarlar'!$B$6-IF('Ayarlar'!$B$7&lt;=0,99,ROUNDUP(MAX('Proje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girdileri'!AD12/'Ayarlar'!$B$7,0))/(52/12),0)),7-1&lt;'Proje girdileri'!AH12),POWER(1-'Proje girdileri'!AT12,7-1),0)+IF(AND(2&gt;IF('Ayarlar'!$B$7&lt;=0,99,ROUNDUP(MAX('Proje girdileri'!AC12,ROUNDUP('Proje girdileri'!AD12/'Ayarlar'!$B$7,0))/(52/12),0)),7-2&lt;'Proje girdileri'!AH12),POWER(1-'Proje girdileri'!AT12,7-2),0)+IF(AND(3&gt;IF('Ayarlar'!$B$7&lt;=0,99,ROUNDUP(MAX('Proje girdileri'!AC12,ROUNDUP('Proje girdileri'!AD12/'Ayarlar'!$B$7,0))/(52/12),0)),7-3&lt;'Proje girdileri'!AH12),POWER(1-'Proje girdileri'!AT12,7-3),0)+IF(AND(4&gt;IF('Ayarlar'!$B$7&lt;=0,99,ROUNDUP(MAX('Proje girdileri'!AC12,ROUNDUP('Proje girdileri'!AD12/'Ayarlar'!$B$7,0))/(52/12),0)),7-4&lt;'Proje girdileri'!AH12),POWER(1-'Proje girdileri'!AT12,7-4),0)+IF(AND(5&gt;IF('Ayarlar'!$B$7&lt;=0,99,ROUNDUP(MAX('Proje girdileri'!AC12,ROUNDUP('Proje girdileri'!AD12/'Ayarlar'!$B$7,0))/(52/12),0)),7-5&lt;'Proje girdileri'!AH12),POWER(1-'Proje girdileri'!AT12,7-5),0)+IF(AND(6&gt;IF('Ayarlar'!$B$7&lt;=0,99,ROUNDUP(MAX('Proje girdileri'!AC12,ROUNDUP('Proje girdileri'!AD12/'Ayarlar'!$B$7,0))/(52/12),0)),7-6&lt;'Proje girdileri'!AH12),POWER(1-'Proje girdileri'!AT12,7-6),0)+IF(AND(7&gt;IF('Ayarlar'!$B$7&lt;=0,99,ROUNDUP(MAX('Proje girdileri'!AC12,ROUNDUP('Proje girdileri'!AD12/'Ayarlar'!$B$7,0))/(52/12),0)),7-7&lt;'Proje girdileri'!AH12),POWER(1-'Proje girdileri'!AT12,7-7),0)),IF(7&gt;IF('Ayarlar'!$B$7&lt;=0,99,ROUNDUP(MAX('Proje girdileri'!AC12,ROUNDUP('Proje girdileri'!AD12/'Ayarlar'!$B$7,0))/(52/12),0)),1,0))*('Proje girdileri'!Y12*(1-'Proje girdileri'!AA12-'Proje girdileri'!AB12)-'Proje girdileri'!Z12))-'Proje girdileri'!AJ12)</x:f>
        <x:v>0</x:v>
      </x:c>
      <x:c r="I12" s="24" t="n">
        <x:f>IF(8&gt;'Ayarlar'!$B$6,0,IF(MAX(0,'Ayarlar'!$B$6-IF('Ayarlar'!$B$7&lt;=0,99,ROUNDUP(MAX('Proje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girdileri'!AD12/'Ayarlar'!$B$7,0))/(52/12),0)),8-1&lt;'Proje girdileri'!AH12),POWER(1-'Proje girdileri'!AT12,8-1),0)+IF(AND(2&gt;IF('Ayarlar'!$B$7&lt;=0,99,ROUNDUP(MAX('Proje girdileri'!AC12,ROUNDUP('Proje girdileri'!AD12/'Ayarlar'!$B$7,0))/(52/12),0)),8-2&lt;'Proje girdileri'!AH12),POWER(1-'Proje girdileri'!AT12,8-2),0)+IF(AND(3&gt;IF('Ayarlar'!$B$7&lt;=0,99,ROUNDUP(MAX('Proje girdileri'!AC12,ROUNDUP('Proje girdileri'!AD12/'Ayarlar'!$B$7,0))/(52/12),0)),8-3&lt;'Proje girdileri'!AH12),POWER(1-'Proje girdileri'!AT12,8-3),0)+IF(AND(4&gt;IF('Ayarlar'!$B$7&lt;=0,99,ROUNDUP(MAX('Proje girdileri'!AC12,ROUNDUP('Proje girdileri'!AD12/'Ayarlar'!$B$7,0))/(52/12),0)),8-4&lt;'Proje girdileri'!AH12),POWER(1-'Proje girdileri'!AT12,8-4),0)+IF(AND(5&gt;IF('Ayarlar'!$B$7&lt;=0,99,ROUNDUP(MAX('Proje girdileri'!AC12,ROUNDUP('Proje girdileri'!AD12/'Ayarlar'!$B$7,0))/(52/12),0)),8-5&lt;'Proje girdileri'!AH12),POWER(1-'Proje girdileri'!AT12,8-5),0)+IF(AND(6&gt;IF('Ayarlar'!$B$7&lt;=0,99,ROUNDUP(MAX('Proje girdileri'!AC12,ROUNDUP('Proje girdileri'!AD12/'Ayarlar'!$B$7,0))/(52/12),0)),8-6&lt;'Proje girdileri'!AH12),POWER(1-'Proje girdileri'!AT12,8-6),0)+IF(AND(7&gt;IF('Ayarlar'!$B$7&lt;=0,99,ROUNDUP(MAX('Proje girdileri'!AC12,ROUNDUP('Proje girdileri'!AD12/'Ayarlar'!$B$7,0))/(52/12),0)),8-7&lt;'Proje girdileri'!AH12),POWER(1-'Proje girdileri'!AT12,8-7),0)+IF(AND(8&gt;IF('Ayarlar'!$B$7&lt;=0,99,ROUNDUP(MAX('Proje girdileri'!AC12,ROUNDUP('Proje girdileri'!AD12/'Ayarlar'!$B$7,0))/(52/12),0)),8-8&lt;'Proje girdileri'!AH12),POWER(1-'Proje girdileri'!AT12,8-8),0)),IF(8&gt;IF('Ayarlar'!$B$7&lt;=0,99,ROUNDUP(MAX('Proje girdileri'!AC12,ROUNDUP('Proje girdileri'!AD12/'Ayarlar'!$B$7,0))/(52/12),0)),1,0))*('Proje girdileri'!Y12*(1-'Proje girdileri'!AA12-'Proje girdileri'!AB12)-'Proje girdileri'!Z12))-'Proje girdileri'!AJ12)</x:f>
        <x:v>0</x:v>
      </x:c>
      <x:c r="J12" s="24" t="n">
        <x:f>IF(9&gt;'Ayarlar'!$B$6,0,IF(MAX(0,'Ayarlar'!$B$6-IF('Ayarlar'!$B$7&lt;=0,99,ROUNDUP(MAX('Proje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girdileri'!AD12/'Ayarlar'!$B$7,0))/(52/12),0)),9-1&lt;'Proje girdileri'!AH12),POWER(1-'Proje girdileri'!AT12,9-1),0)+IF(AND(2&gt;IF('Ayarlar'!$B$7&lt;=0,99,ROUNDUP(MAX('Proje girdileri'!AC12,ROUNDUP('Proje girdileri'!AD12/'Ayarlar'!$B$7,0))/(52/12),0)),9-2&lt;'Proje girdileri'!AH12),POWER(1-'Proje girdileri'!AT12,9-2),0)+IF(AND(3&gt;IF('Ayarlar'!$B$7&lt;=0,99,ROUNDUP(MAX('Proje girdileri'!AC12,ROUNDUP('Proje girdileri'!AD12/'Ayarlar'!$B$7,0))/(52/12),0)),9-3&lt;'Proje girdileri'!AH12),POWER(1-'Proje girdileri'!AT12,9-3),0)+IF(AND(4&gt;IF('Ayarlar'!$B$7&lt;=0,99,ROUNDUP(MAX('Proje girdileri'!AC12,ROUNDUP('Proje girdileri'!AD12/'Ayarlar'!$B$7,0))/(52/12),0)),9-4&lt;'Proje girdileri'!AH12),POWER(1-'Proje girdileri'!AT12,9-4),0)+IF(AND(5&gt;IF('Ayarlar'!$B$7&lt;=0,99,ROUNDUP(MAX('Proje girdileri'!AC12,ROUNDUP('Proje girdileri'!AD12/'Ayarlar'!$B$7,0))/(52/12),0)),9-5&lt;'Proje girdileri'!AH12),POWER(1-'Proje girdileri'!AT12,9-5),0)+IF(AND(6&gt;IF('Ayarlar'!$B$7&lt;=0,99,ROUNDUP(MAX('Proje girdileri'!AC12,ROUNDUP('Proje girdileri'!AD12/'Ayarlar'!$B$7,0))/(52/12),0)),9-6&lt;'Proje girdileri'!AH12),POWER(1-'Proje girdileri'!AT12,9-6),0)+IF(AND(7&gt;IF('Ayarlar'!$B$7&lt;=0,99,ROUNDUP(MAX('Proje girdileri'!AC12,ROUNDUP('Proje girdileri'!AD12/'Ayarlar'!$B$7,0))/(52/12),0)),9-7&lt;'Proje girdileri'!AH12),POWER(1-'Proje girdileri'!AT12,9-7),0)+IF(AND(8&gt;IF('Ayarlar'!$B$7&lt;=0,99,ROUNDUP(MAX('Proje girdileri'!AC12,ROUNDUP('Proje girdileri'!AD12/'Ayarlar'!$B$7,0))/(52/12),0)),9-8&lt;'Proje girdileri'!AH12),POWER(1-'Proje girdileri'!AT12,9-8),0)+IF(AND(9&gt;IF('Ayarlar'!$B$7&lt;=0,99,ROUNDUP(MAX('Proje girdileri'!AC12,ROUNDUP('Proje girdileri'!AD12/'Ayarlar'!$B$7,0))/(52/12),0)),9-9&lt;'Proje girdileri'!AH12),POWER(1-'Proje girdileri'!AT12,9-9),0)),IF(9&gt;IF('Ayarlar'!$B$7&lt;=0,99,ROUNDUP(MAX('Proje girdileri'!AC12,ROUNDUP('Proje girdileri'!AD12/'Ayarlar'!$B$7,0))/(52/12),0)),1,0))*('Proje girdileri'!Y12*(1-'Proje girdileri'!AA12-'Proje girdileri'!AB12)-'Proje girdileri'!Z12))-'Proje girdileri'!AJ12)</x:f>
        <x:v>0</x:v>
      </x:c>
      <x:c r="K12" s="24" t="n">
        <x:f>IF(10&gt;'Ayarlar'!$B$6,0,IF(MAX(0,'Ayarlar'!$B$6-IF('Ayarlar'!$B$7&lt;=0,99,ROUNDUP(MAX('Proje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girdileri'!AD12/'Ayarlar'!$B$7,0))/(52/12),0)),10-1&lt;'Proje girdileri'!AH12),POWER(1-'Proje girdileri'!AT12,10-1),0)+IF(AND(2&gt;IF('Ayarlar'!$B$7&lt;=0,99,ROUNDUP(MAX('Proje girdileri'!AC12,ROUNDUP('Proje girdileri'!AD12/'Ayarlar'!$B$7,0))/(52/12),0)),10-2&lt;'Proje girdileri'!AH12),POWER(1-'Proje girdileri'!AT12,10-2),0)+IF(AND(3&gt;IF('Ayarlar'!$B$7&lt;=0,99,ROUNDUP(MAX('Proje girdileri'!AC12,ROUNDUP('Proje girdileri'!AD12/'Ayarlar'!$B$7,0))/(52/12),0)),10-3&lt;'Proje girdileri'!AH12),POWER(1-'Proje girdileri'!AT12,10-3),0)+IF(AND(4&gt;IF('Ayarlar'!$B$7&lt;=0,99,ROUNDUP(MAX('Proje girdileri'!AC12,ROUNDUP('Proje girdileri'!AD12/'Ayarlar'!$B$7,0))/(52/12),0)),10-4&lt;'Proje girdileri'!AH12),POWER(1-'Proje girdileri'!AT12,10-4),0)+IF(AND(5&gt;IF('Ayarlar'!$B$7&lt;=0,99,ROUNDUP(MAX('Proje girdileri'!AC12,ROUNDUP('Proje girdileri'!AD12/'Ayarlar'!$B$7,0))/(52/12),0)),10-5&lt;'Proje girdileri'!AH12),POWER(1-'Proje girdileri'!AT12,10-5),0)+IF(AND(6&gt;IF('Ayarlar'!$B$7&lt;=0,99,ROUNDUP(MAX('Proje girdileri'!AC12,ROUNDUP('Proje girdileri'!AD12/'Ayarlar'!$B$7,0))/(52/12),0)),10-6&lt;'Proje girdileri'!AH12),POWER(1-'Proje girdileri'!AT12,10-6),0)+IF(AND(7&gt;IF('Ayarlar'!$B$7&lt;=0,99,ROUNDUP(MAX('Proje girdileri'!AC12,ROUNDUP('Proje girdileri'!AD12/'Ayarlar'!$B$7,0))/(52/12),0)),10-7&lt;'Proje girdileri'!AH12),POWER(1-'Proje girdileri'!AT12,10-7),0)+IF(AND(8&gt;IF('Ayarlar'!$B$7&lt;=0,99,ROUNDUP(MAX('Proje girdileri'!AC12,ROUNDUP('Proje girdileri'!AD12/'Ayarlar'!$B$7,0))/(52/12),0)),10-8&lt;'Proje girdileri'!AH12),POWER(1-'Proje girdileri'!AT12,10-8),0)+IF(AND(9&gt;IF('Ayarlar'!$B$7&lt;=0,99,ROUNDUP(MAX('Proje girdileri'!AC12,ROUNDUP('Proje girdileri'!AD12/'Ayarlar'!$B$7,0))/(52/12),0)),10-9&lt;'Proje girdileri'!AH12),POWER(1-'Proje girdileri'!AT12,10-9),0)+IF(AND(10&gt;IF('Ayarlar'!$B$7&lt;=0,99,ROUNDUP(MAX('Proje girdileri'!AC12,ROUNDUP('Proje girdileri'!AD12/'Ayarlar'!$B$7,0))/(52/12),0)),10-10&lt;'Proje girdileri'!AH12),POWER(1-'Proje girdileri'!AT12,10-10),0)),IF(10&gt;IF('Ayarlar'!$B$7&lt;=0,99,ROUNDUP(MAX('Proje girdileri'!AC12,ROUNDUP('Proje girdileri'!AD12/'Ayarlar'!$B$7,0))/(52/12),0)),1,0))*('Proje girdileri'!Y12*(1-'Proje girdileri'!AA12-'Proje girdileri'!AB12)-'Proje girdileri'!Z12))-'Proje girdileri'!AJ12)</x:f>
        <x:v>0</x:v>
      </x:c>
      <x:c r="L12" s="24" t="n">
        <x:f>IF(11&gt;'Ayarlar'!$B$6,0,IF(MAX(0,'Ayarlar'!$B$6-IF('Ayarlar'!$B$7&lt;=0,99,ROUNDUP(MAX('Proje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girdileri'!AD12/'Ayarlar'!$B$7,0))/(52/12),0)),11-1&lt;'Proje girdileri'!AH12),POWER(1-'Proje girdileri'!AT12,11-1),0)+IF(AND(2&gt;IF('Ayarlar'!$B$7&lt;=0,99,ROUNDUP(MAX('Proje girdileri'!AC12,ROUNDUP('Proje girdileri'!AD12/'Ayarlar'!$B$7,0))/(52/12),0)),11-2&lt;'Proje girdileri'!AH12),POWER(1-'Proje girdileri'!AT12,11-2),0)+IF(AND(3&gt;IF('Ayarlar'!$B$7&lt;=0,99,ROUNDUP(MAX('Proje girdileri'!AC12,ROUNDUP('Proje girdileri'!AD12/'Ayarlar'!$B$7,0))/(52/12),0)),11-3&lt;'Proje girdileri'!AH12),POWER(1-'Proje girdileri'!AT12,11-3),0)+IF(AND(4&gt;IF('Ayarlar'!$B$7&lt;=0,99,ROUNDUP(MAX('Proje girdileri'!AC12,ROUNDUP('Proje girdileri'!AD12/'Ayarlar'!$B$7,0))/(52/12),0)),11-4&lt;'Proje girdileri'!AH12),POWER(1-'Proje girdileri'!AT12,11-4),0)+IF(AND(5&gt;IF('Ayarlar'!$B$7&lt;=0,99,ROUNDUP(MAX('Proje girdileri'!AC12,ROUNDUP('Proje girdileri'!AD12/'Ayarlar'!$B$7,0))/(52/12),0)),11-5&lt;'Proje girdileri'!AH12),POWER(1-'Proje girdileri'!AT12,11-5),0)+IF(AND(6&gt;IF('Ayarlar'!$B$7&lt;=0,99,ROUNDUP(MAX('Proje girdileri'!AC12,ROUNDUP('Proje girdileri'!AD12/'Ayarlar'!$B$7,0))/(52/12),0)),11-6&lt;'Proje girdileri'!AH12),POWER(1-'Proje girdileri'!AT12,11-6),0)+IF(AND(7&gt;IF('Ayarlar'!$B$7&lt;=0,99,ROUNDUP(MAX('Proje girdileri'!AC12,ROUNDUP('Proje girdileri'!AD12/'Ayarlar'!$B$7,0))/(52/12),0)),11-7&lt;'Proje girdileri'!AH12),POWER(1-'Proje girdileri'!AT12,11-7),0)+IF(AND(8&gt;IF('Ayarlar'!$B$7&lt;=0,99,ROUNDUP(MAX('Proje girdileri'!AC12,ROUNDUP('Proje girdileri'!AD12/'Ayarlar'!$B$7,0))/(52/12),0)),11-8&lt;'Proje girdileri'!AH12),POWER(1-'Proje girdileri'!AT12,11-8),0)+IF(AND(9&gt;IF('Ayarlar'!$B$7&lt;=0,99,ROUNDUP(MAX('Proje girdileri'!AC12,ROUNDUP('Proje girdileri'!AD12/'Ayarlar'!$B$7,0))/(52/12),0)),11-9&lt;'Proje girdileri'!AH12),POWER(1-'Proje girdileri'!AT12,11-9),0)+IF(AND(10&gt;IF('Ayarlar'!$B$7&lt;=0,99,ROUNDUP(MAX('Proje girdileri'!AC12,ROUNDUP('Proje girdileri'!AD12/'Ayarlar'!$B$7,0))/(52/12),0)),11-10&lt;'Proje girdileri'!AH12),POWER(1-'Proje girdileri'!AT12,11-10),0)+IF(AND(11&gt;IF('Ayarlar'!$B$7&lt;=0,99,ROUNDUP(MAX('Proje girdileri'!AC12,ROUNDUP('Proje girdileri'!AD12/'Ayarlar'!$B$7,0))/(52/12),0)),11-11&lt;'Proje girdileri'!AH12),POWER(1-'Proje girdileri'!AT12,11-11),0)),IF(11&gt;IF('Ayarlar'!$B$7&lt;=0,99,ROUNDUP(MAX('Proje girdileri'!AC12,ROUNDUP('Proje girdileri'!AD12/'Ayarlar'!$B$7,0))/(52/12),0)),1,0))*('Proje girdileri'!Y12*(1-'Proje girdileri'!AA12-'Proje girdileri'!AB12)-'Proje girdileri'!Z12))-'Proje girdileri'!AJ12)</x:f>
        <x:v>0</x:v>
      </x:c>
      <x:c r="M12" s="24" t="n">
        <x:f>IF(12&gt;'Ayarlar'!$B$6,0,IF(MAX(0,'Ayarlar'!$B$6-IF('Ayarlar'!$B$7&lt;=0,99,ROUNDUP(MAX('Proje girdileri'!AC12,ROUNDUP('Proje girdileri'!AD12/'Ayarlar'!$B$7,0))/(52/12),0)))=0,0,'Hesap'!I12/MAX(0,'Ayarlar'!$B$6-IF('Ayarlar'!$B$7&lt;=0,99,ROUNDUP(MAX('Proje girdileri'!AC12,ROUNDUP('Proje girdileri'!AD12/'Ayarlar'!$B$7,0))/(52/12),0)))*IF('Proje girdileri'!C12="recurring",(IF(AND(1&gt;IF('Ayarlar'!$B$7&lt;=0,99,ROUNDUP(MAX('Proje girdileri'!AC12,ROUNDUP('Proje girdileri'!AD12/'Ayarlar'!$B$7,0))/(52/12),0)),12-1&lt;'Proje girdileri'!AH12),POWER(1-'Proje girdileri'!AT12,12-1),0)+IF(AND(2&gt;IF('Ayarlar'!$B$7&lt;=0,99,ROUNDUP(MAX('Proje girdileri'!AC12,ROUNDUP('Proje girdileri'!AD12/'Ayarlar'!$B$7,0))/(52/12),0)),12-2&lt;'Proje girdileri'!AH12),POWER(1-'Proje girdileri'!AT12,12-2),0)+IF(AND(3&gt;IF('Ayarlar'!$B$7&lt;=0,99,ROUNDUP(MAX('Proje girdileri'!AC12,ROUNDUP('Proje girdileri'!AD12/'Ayarlar'!$B$7,0))/(52/12),0)),12-3&lt;'Proje girdileri'!AH12),POWER(1-'Proje girdileri'!AT12,12-3),0)+IF(AND(4&gt;IF('Ayarlar'!$B$7&lt;=0,99,ROUNDUP(MAX('Proje girdileri'!AC12,ROUNDUP('Proje girdileri'!AD12/'Ayarlar'!$B$7,0))/(52/12),0)),12-4&lt;'Proje girdileri'!AH12),POWER(1-'Proje girdileri'!AT12,12-4),0)+IF(AND(5&gt;IF('Ayarlar'!$B$7&lt;=0,99,ROUNDUP(MAX('Proje girdileri'!AC12,ROUNDUP('Proje girdileri'!AD12/'Ayarlar'!$B$7,0))/(52/12),0)),12-5&lt;'Proje girdileri'!AH12),POWER(1-'Proje girdileri'!AT12,12-5),0)+IF(AND(6&gt;IF('Ayarlar'!$B$7&lt;=0,99,ROUNDUP(MAX('Proje girdileri'!AC12,ROUNDUP('Proje girdileri'!AD12/'Ayarlar'!$B$7,0))/(52/12),0)),12-6&lt;'Proje girdileri'!AH12),POWER(1-'Proje girdileri'!AT12,12-6),0)+IF(AND(7&gt;IF('Ayarlar'!$B$7&lt;=0,99,ROUNDUP(MAX('Proje girdileri'!AC12,ROUNDUP('Proje girdileri'!AD12/'Ayarlar'!$B$7,0))/(52/12),0)),12-7&lt;'Proje girdileri'!AH12),POWER(1-'Proje girdileri'!AT12,12-7),0)+IF(AND(8&gt;IF('Ayarlar'!$B$7&lt;=0,99,ROUNDUP(MAX('Proje girdileri'!AC12,ROUNDUP('Proje girdileri'!AD12/'Ayarlar'!$B$7,0))/(52/12),0)),12-8&lt;'Proje girdileri'!AH12),POWER(1-'Proje girdileri'!AT12,12-8),0)+IF(AND(9&gt;IF('Ayarlar'!$B$7&lt;=0,99,ROUNDUP(MAX('Proje girdileri'!AC12,ROUNDUP('Proje girdileri'!AD12/'Ayarlar'!$B$7,0))/(52/12),0)),12-9&lt;'Proje girdileri'!AH12),POWER(1-'Proje girdileri'!AT12,12-9),0)+IF(AND(10&gt;IF('Ayarlar'!$B$7&lt;=0,99,ROUNDUP(MAX('Proje girdileri'!AC12,ROUNDUP('Proje girdileri'!AD12/'Ayarlar'!$B$7,0))/(52/12),0)),12-10&lt;'Proje girdileri'!AH12),POWER(1-'Proje girdileri'!AT12,12-10),0)+IF(AND(11&gt;IF('Ayarlar'!$B$7&lt;=0,99,ROUNDUP(MAX('Proje girdileri'!AC12,ROUNDUP('Proje girdileri'!AD12/'Ayarlar'!$B$7,0))/(52/12),0)),12-11&lt;'Proje girdileri'!AH12),POWER(1-'Proje girdileri'!AT12,12-11),0)+IF(AND(12&gt;IF('Ayarlar'!$B$7&lt;=0,99,ROUNDUP(MAX('Proje girdileri'!AC12,ROUNDUP('Proje girdileri'!AD12/'Ayarlar'!$B$7,0))/(52/12),0)),12-12&lt;'Proje girdileri'!AH12),POWER(1-'Proje girdileri'!AT12,12-12),0)),IF(12&gt;IF('Ayarlar'!$B$7&lt;=0,99,ROUNDUP(MAX('Proje girdileri'!AC12,ROUNDUP('Proje girdileri'!AD12/'Ayarlar'!$B$7,0))/(52/12),0)),1,0))*('Proje girdileri'!Y12*(1-'Proje girdileri'!AA12-'Proje girdileri'!AB12)-'Proje girdileri'!Z12))-'Proje girdileri'!AJ12)</x:f>
        <x:v>0</x:v>
      </x:c>
      <x:c r="N12" s="24" t="n">
        <x:f>SUM(B12:M12)</x:f>
        <x:v>373.4999999999999</x:v>
      </x:c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  <x:c r="AN12" s="2"/>
      <x:c r="AO12" s="2"/>
    </x:row>
    <x:row r="13" ht="24" customHeight="1">
      <x:c r="A13" s="2" t="str">
        <x:f>'Hesap'!B13</x:f>
        <x:v>Markalı kampanya çıktısı</x:v>
      </x:c>
      <x:c r="B13" s="24" t="n">
        <x:f>IF(1&gt;'Ayarlar'!$B$6,0,IF(MAX(0,'Ayarlar'!$B$6-IF('Ayarlar'!$B$7&lt;=0,99,ROUNDUP(MAX('Proje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girdileri'!AD13/'Ayarlar'!$B$7,0))/(52/12),0)),1-1&lt;'Proje girdileri'!AH13),POWER(1-'Proje girdileri'!AT13,1-1),0)),IF(1&gt;IF('Ayarlar'!$B$7&lt;=0,99,ROUNDUP(MAX('Proje girdileri'!AC13,ROUNDUP('Proje girdileri'!AD13/'Ayarlar'!$B$7,0))/(52/12),0)),1,0))*('Proje girdileri'!Y13*(1-'Proje girdileri'!AA13-'Proje girdileri'!AB13)-'Proje girdileri'!Z13))-'Proje girdileri'!AJ13-'Proje girdileri'!AI13)</x:f>
        <x:v>-165</x:v>
      </x:c>
      <x:c r="C13" s="24" t="n">
        <x:f>IF(2&gt;'Ayarlar'!$B$6,0,IF(MAX(0,'Ayarlar'!$B$6-IF('Ayarlar'!$B$7&lt;=0,99,ROUNDUP(MAX('Proje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girdileri'!AD13/'Ayarlar'!$B$7,0))/(52/12),0)),2-1&lt;'Proje girdileri'!AH13),POWER(1-'Proje girdileri'!AT13,2-1),0)+IF(AND(2&gt;IF('Ayarlar'!$B$7&lt;=0,99,ROUNDUP(MAX('Proje girdileri'!AC13,ROUNDUP('Proje girdileri'!AD13/'Ayarlar'!$B$7,0))/(52/12),0)),2-2&lt;'Proje girdileri'!AH13),POWER(1-'Proje girdileri'!AT13,2-2),0)),IF(2&gt;IF('Ayarlar'!$B$7&lt;=0,99,ROUNDUP(MAX('Proje girdileri'!AC13,ROUNDUP('Proje girdileri'!AD13/'Ayarlar'!$B$7,0))/(52/12),0)),1,0))*('Proje girdileri'!Y13*(1-'Proje girdileri'!AA13-'Proje girdileri'!AB13)-'Proje girdileri'!Z13))-'Proje girdileri'!AJ13)</x:f>
        <x:v>152.4</x:v>
      </x:c>
      <x:c r="D13" s="24" t="n">
        <x:f>IF(3&gt;'Ayarlar'!$B$6,0,IF(MAX(0,'Ayarlar'!$B$6-IF('Ayarlar'!$B$7&lt;=0,99,ROUNDUP(MAX('Proje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girdileri'!AD13/'Ayarlar'!$B$7,0))/(52/12),0)),3-1&lt;'Proje girdileri'!AH13),POWER(1-'Proje girdileri'!AT13,3-1),0)+IF(AND(2&gt;IF('Ayarlar'!$B$7&lt;=0,99,ROUNDUP(MAX('Proje girdileri'!AC13,ROUNDUP('Proje girdileri'!AD13/'Ayarlar'!$B$7,0))/(52/12),0)),3-2&lt;'Proje girdileri'!AH13),POWER(1-'Proje girdileri'!AT13,3-2),0)+IF(AND(3&gt;IF('Ayarlar'!$B$7&lt;=0,99,ROUNDUP(MAX('Proje girdileri'!AC13,ROUNDUP('Proje girdileri'!AD13/'Ayarlar'!$B$7,0))/(52/12),0)),3-3&lt;'Proje girdileri'!AH13),POWER(1-'Proje girdileri'!AT13,3-3),0)),IF(3&gt;IF('Ayarlar'!$B$7&lt;=0,99,ROUNDUP(MAX('Proje girdileri'!AC13,ROUNDUP('Proje girdileri'!AD13/'Ayarlar'!$B$7,0))/(52/12),0)),1,0))*('Proje girdileri'!Y13*(1-'Proje girdileri'!AA13-'Proje girdileri'!AB13)-'Proje girdileri'!Z13))-'Proje girdileri'!AJ13)</x:f>
        <x:v>152.4</x:v>
      </x:c>
      <x:c r="E13" s="24" t="n">
        <x:f>IF(4&gt;'Ayarlar'!$B$6,0,IF(MAX(0,'Ayarlar'!$B$6-IF('Ayarlar'!$B$7&lt;=0,99,ROUNDUP(MAX('Proje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girdileri'!AD13/'Ayarlar'!$B$7,0))/(52/12),0)),4-1&lt;'Proje girdileri'!AH13),POWER(1-'Proje girdileri'!AT13,4-1),0)+IF(AND(2&gt;IF('Ayarlar'!$B$7&lt;=0,99,ROUNDUP(MAX('Proje girdileri'!AC13,ROUNDUP('Proje girdileri'!AD13/'Ayarlar'!$B$7,0))/(52/12),0)),4-2&lt;'Proje girdileri'!AH13),POWER(1-'Proje girdileri'!AT13,4-2),0)+IF(AND(3&gt;IF('Ayarlar'!$B$7&lt;=0,99,ROUNDUP(MAX('Proje girdileri'!AC13,ROUNDUP('Proje girdileri'!AD13/'Ayarlar'!$B$7,0))/(52/12),0)),4-3&lt;'Proje girdileri'!AH13),POWER(1-'Proje girdileri'!AT13,4-3),0)+IF(AND(4&gt;IF('Ayarlar'!$B$7&lt;=0,99,ROUNDUP(MAX('Proje girdileri'!AC13,ROUNDUP('Proje girdileri'!AD13/'Ayarlar'!$B$7,0))/(52/12),0)),4-4&lt;'Proje girdileri'!AH13),POWER(1-'Proje girdileri'!AT13,4-4),0)),IF(4&gt;IF('Ayarlar'!$B$7&lt;=0,99,ROUNDUP(MAX('Proje girdileri'!AC13,ROUNDUP('Proje girdileri'!AD13/'Ayarlar'!$B$7,0))/(52/12),0)),1,0))*('Proje girdileri'!Y13*(1-'Proje girdileri'!AA13-'Proje girdileri'!AB13)-'Proje girdileri'!Z13))-'Proje girdileri'!AJ13)</x:f>
        <x:v>152.4</x:v>
      </x:c>
      <x:c r="F13" s="24" t="n">
        <x:f>IF(5&gt;'Ayarlar'!$B$6,0,IF(MAX(0,'Ayarlar'!$B$6-IF('Ayarlar'!$B$7&lt;=0,99,ROUNDUP(MAX('Proje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girdileri'!AD13/'Ayarlar'!$B$7,0))/(52/12),0)),5-1&lt;'Proje girdileri'!AH13),POWER(1-'Proje girdileri'!AT13,5-1),0)+IF(AND(2&gt;IF('Ayarlar'!$B$7&lt;=0,99,ROUNDUP(MAX('Proje girdileri'!AC13,ROUNDUP('Proje girdileri'!AD13/'Ayarlar'!$B$7,0))/(52/12),0)),5-2&lt;'Proje girdileri'!AH13),POWER(1-'Proje girdileri'!AT13,5-2),0)+IF(AND(3&gt;IF('Ayarlar'!$B$7&lt;=0,99,ROUNDUP(MAX('Proje girdileri'!AC13,ROUNDUP('Proje girdileri'!AD13/'Ayarlar'!$B$7,0))/(52/12),0)),5-3&lt;'Proje girdileri'!AH13),POWER(1-'Proje girdileri'!AT13,5-3),0)+IF(AND(4&gt;IF('Ayarlar'!$B$7&lt;=0,99,ROUNDUP(MAX('Proje girdileri'!AC13,ROUNDUP('Proje girdileri'!AD13/'Ayarlar'!$B$7,0))/(52/12),0)),5-4&lt;'Proje girdileri'!AH13),POWER(1-'Proje girdileri'!AT13,5-4),0)+IF(AND(5&gt;IF('Ayarlar'!$B$7&lt;=0,99,ROUNDUP(MAX('Proje girdileri'!AC13,ROUNDUP('Proje girdileri'!AD13/'Ayarlar'!$B$7,0))/(52/12),0)),5-5&lt;'Proje girdileri'!AH13),POWER(1-'Proje girdileri'!AT13,5-5),0)),IF(5&gt;IF('Ayarlar'!$B$7&lt;=0,99,ROUNDUP(MAX('Proje girdileri'!AC13,ROUNDUP('Proje girdileri'!AD13/'Ayarlar'!$B$7,0))/(52/12),0)),1,0))*('Proje girdileri'!Y13*(1-'Proje girdileri'!AA13-'Proje girdileri'!AB13)-'Proje girdileri'!Z13))-'Proje girdileri'!AJ13)</x:f>
        <x:v>152.4</x:v>
      </x:c>
      <x:c r="G13" s="24" t="n">
        <x:f>IF(6&gt;'Ayarlar'!$B$6,0,IF(MAX(0,'Ayarlar'!$B$6-IF('Ayarlar'!$B$7&lt;=0,99,ROUNDUP(MAX('Proje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girdileri'!AD13/'Ayarlar'!$B$7,0))/(52/12),0)),6-1&lt;'Proje girdileri'!AH13),POWER(1-'Proje girdileri'!AT13,6-1),0)+IF(AND(2&gt;IF('Ayarlar'!$B$7&lt;=0,99,ROUNDUP(MAX('Proje girdileri'!AC13,ROUNDUP('Proje girdileri'!AD13/'Ayarlar'!$B$7,0))/(52/12),0)),6-2&lt;'Proje girdileri'!AH13),POWER(1-'Proje girdileri'!AT13,6-2),0)+IF(AND(3&gt;IF('Ayarlar'!$B$7&lt;=0,99,ROUNDUP(MAX('Proje girdileri'!AC13,ROUNDUP('Proje girdileri'!AD13/'Ayarlar'!$B$7,0))/(52/12),0)),6-3&lt;'Proje girdileri'!AH13),POWER(1-'Proje girdileri'!AT13,6-3),0)+IF(AND(4&gt;IF('Ayarlar'!$B$7&lt;=0,99,ROUNDUP(MAX('Proje girdileri'!AC13,ROUNDUP('Proje girdileri'!AD13/'Ayarlar'!$B$7,0))/(52/12),0)),6-4&lt;'Proje girdileri'!AH13),POWER(1-'Proje girdileri'!AT13,6-4),0)+IF(AND(5&gt;IF('Ayarlar'!$B$7&lt;=0,99,ROUNDUP(MAX('Proje girdileri'!AC13,ROUNDUP('Proje girdileri'!AD13/'Ayarlar'!$B$7,0))/(52/12),0)),6-5&lt;'Proje girdileri'!AH13),POWER(1-'Proje girdileri'!AT13,6-5),0)+IF(AND(6&gt;IF('Ayarlar'!$B$7&lt;=0,99,ROUNDUP(MAX('Proje girdileri'!AC13,ROUNDUP('Proje girdileri'!AD13/'Ayarlar'!$B$7,0))/(52/12),0)),6-6&lt;'Proje girdileri'!AH13),POWER(1-'Proje girdileri'!AT13,6-6),0)),IF(6&gt;IF('Ayarlar'!$B$7&lt;=0,99,ROUNDUP(MAX('Proje girdileri'!AC13,ROUNDUP('Proje girdileri'!AD13/'Ayarlar'!$B$7,0))/(52/12),0)),1,0))*('Proje girdileri'!Y13*(1-'Proje girdileri'!AA13-'Proje girdileri'!AB13)-'Proje girdileri'!Z13))-'Proje girdileri'!AJ13)</x:f>
        <x:v>152.4</x:v>
      </x:c>
      <x:c r="H13" s="24" t="n">
        <x:f>IF(7&gt;'Ayarlar'!$B$6,0,IF(MAX(0,'Ayarlar'!$B$6-IF('Ayarlar'!$B$7&lt;=0,99,ROUNDUP(MAX('Proje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girdileri'!AD13/'Ayarlar'!$B$7,0))/(52/12),0)),7-1&lt;'Proje girdileri'!AH13),POWER(1-'Proje girdileri'!AT13,7-1),0)+IF(AND(2&gt;IF('Ayarlar'!$B$7&lt;=0,99,ROUNDUP(MAX('Proje girdileri'!AC13,ROUNDUP('Proje girdileri'!AD13/'Ayarlar'!$B$7,0))/(52/12),0)),7-2&lt;'Proje girdileri'!AH13),POWER(1-'Proje girdileri'!AT13,7-2),0)+IF(AND(3&gt;IF('Ayarlar'!$B$7&lt;=0,99,ROUNDUP(MAX('Proje girdileri'!AC13,ROUNDUP('Proje girdileri'!AD13/'Ayarlar'!$B$7,0))/(52/12),0)),7-3&lt;'Proje girdileri'!AH13),POWER(1-'Proje girdileri'!AT13,7-3),0)+IF(AND(4&gt;IF('Ayarlar'!$B$7&lt;=0,99,ROUNDUP(MAX('Proje girdileri'!AC13,ROUNDUP('Proje girdileri'!AD13/'Ayarlar'!$B$7,0))/(52/12),0)),7-4&lt;'Proje girdileri'!AH13),POWER(1-'Proje girdileri'!AT13,7-4),0)+IF(AND(5&gt;IF('Ayarlar'!$B$7&lt;=0,99,ROUNDUP(MAX('Proje girdileri'!AC13,ROUNDUP('Proje girdileri'!AD13/'Ayarlar'!$B$7,0))/(52/12),0)),7-5&lt;'Proje girdileri'!AH13),POWER(1-'Proje girdileri'!AT13,7-5),0)+IF(AND(6&gt;IF('Ayarlar'!$B$7&lt;=0,99,ROUNDUP(MAX('Proje girdileri'!AC13,ROUNDUP('Proje girdileri'!AD13/'Ayarlar'!$B$7,0))/(52/12),0)),7-6&lt;'Proje girdileri'!AH13),POWER(1-'Proje girdileri'!AT13,7-6),0)+IF(AND(7&gt;IF('Ayarlar'!$B$7&lt;=0,99,ROUNDUP(MAX('Proje girdileri'!AC13,ROUNDUP('Proje girdileri'!AD13/'Ayarlar'!$B$7,0))/(52/12),0)),7-7&lt;'Proje girdileri'!AH13),POWER(1-'Proje girdileri'!AT13,7-7),0)),IF(7&gt;IF('Ayarlar'!$B$7&lt;=0,99,ROUNDUP(MAX('Proje girdileri'!AC13,ROUNDUP('Proje girdileri'!AD13/'Ayarlar'!$B$7,0))/(52/12),0)),1,0))*('Proje girdileri'!Y13*(1-'Proje girdileri'!AA13-'Proje girdileri'!AB13)-'Proje girdileri'!Z13))-'Proje girdileri'!AJ13)</x:f>
        <x:v>0</x:v>
      </x:c>
      <x:c r="I13" s="24" t="n">
        <x:f>IF(8&gt;'Ayarlar'!$B$6,0,IF(MAX(0,'Ayarlar'!$B$6-IF('Ayarlar'!$B$7&lt;=0,99,ROUNDUP(MAX('Proje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girdileri'!AD13/'Ayarlar'!$B$7,0))/(52/12),0)),8-1&lt;'Proje girdileri'!AH13),POWER(1-'Proje girdileri'!AT13,8-1),0)+IF(AND(2&gt;IF('Ayarlar'!$B$7&lt;=0,99,ROUNDUP(MAX('Proje girdileri'!AC13,ROUNDUP('Proje girdileri'!AD13/'Ayarlar'!$B$7,0))/(52/12),0)),8-2&lt;'Proje girdileri'!AH13),POWER(1-'Proje girdileri'!AT13,8-2),0)+IF(AND(3&gt;IF('Ayarlar'!$B$7&lt;=0,99,ROUNDUP(MAX('Proje girdileri'!AC13,ROUNDUP('Proje girdileri'!AD13/'Ayarlar'!$B$7,0))/(52/12),0)),8-3&lt;'Proje girdileri'!AH13),POWER(1-'Proje girdileri'!AT13,8-3),0)+IF(AND(4&gt;IF('Ayarlar'!$B$7&lt;=0,99,ROUNDUP(MAX('Proje girdileri'!AC13,ROUNDUP('Proje girdileri'!AD13/'Ayarlar'!$B$7,0))/(52/12),0)),8-4&lt;'Proje girdileri'!AH13),POWER(1-'Proje girdileri'!AT13,8-4),0)+IF(AND(5&gt;IF('Ayarlar'!$B$7&lt;=0,99,ROUNDUP(MAX('Proje girdileri'!AC13,ROUNDUP('Proje girdileri'!AD13/'Ayarlar'!$B$7,0))/(52/12),0)),8-5&lt;'Proje girdileri'!AH13),POWER(1-'Proje girdileri'!AT13,8-5),0)+IF(AND(6&gt;IF('Ayarlar'!$B$7&lt;=0,99,ROUNDUP(MAX('Proje girdileri'!AC13,ROUNDUP('Proje girdileri'!AD13/'Ayarlar'!$B$7,0))/(52/12),0)),8-6&lt;'Proje girdileri'!AH13),POWER(1-'Proje girdileri'!AT13,8-6),0)+IF(AND(7&gt;IF('Ayarlar'!$B$7&lt;=0,99,ROUNDUP(MAX('Proje girdileri'!AC13,ROUNDUP('Proje girdileri'!AD13/'Ayarlar'!$B$7,0))/(52/12),0)),8-7&lt;'Proje girdileri'!AH13),POWER(1-'Proje girdileri'!AT13,8-7),0)+IF(AND(8&gt;IF('Ayarlar'!$B$7&lt;=0,99,ROUNDUP(MAX('Proje girdileri'!AC13,ROUNDUP('Proje girdileri'!AD13/'Ayarlar'!$B$7,0))/(52/12),0)),8-8&lt;'Proje girdileri'!AH13),POWER(1-'Proje girdileri'!AT13,8-8),0)),IF(8&gt;IF('Ayarlar'!$B$7&lt;=0,99,ROUNDUP(MAX('Proje girdileri'!AC13,ROUNDUP('Proje girdileri'!AD13/'Ayarlar'!$B$7,0))/(52/12),0)),1,0))*('Proje girdileri'!Y13*(1-'Proje girdileri'!AA13-'Proje girdileri'!AB13)-'Proje girdileri'!Z13))-'Proje girdileri'!AJ13)</x:f>
        <x:v>0</x:v>
      </x:c>
      <x:c r="J13" s="24" t="n">
        <x:f>IF(9&gt;'Ayarlar'!$B$6,0,IF(MAX(0,'Ayarlar'!$B$6-IF('Ayarlar'!$B$7&lt;=0,99,ROUNDUP(MAX('Proje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girdileri'!AD13/'Ayarlar'!$B$7,0))/(52/12),0)),9-1&lt;'Proje girdileri'!AH13),POWER(1-'Proje girdileri'!AT13,9-1),0)+IF(AND(2&gt;IF('Ayarlar'!$B$7&lt;=0,99,ROUNDUP(MAX('Proje girdileri'!AC13,ROUNDUP('Proje girdileri'!AD13/'Ayarlar'!$B$7,0))/(52/12),0)),9-2&lt;'Proje girdileri'!AH13),POWER(1-'Proje girdileri'!AT13,9-2),0)+IF(AND(3&gt;IF('Ayarlar'!$B$7&lt;=0,99,ROUNDUP(MAX('Proje girdileri'!AC13,ROUNDUP('Proje girdileri'!AD13/'Ayarlar'!$B$7,0))/(52/12),0)),9-3&lt;'Proje girdileri'!AH13),POWER(1-'Proje girdileri'!AT13,9-3),0)+IF(AND(4&gt;IF('Ayarlar'!$B$7&lt;=0,99,ROUNDUP(MAX('Proje girdileri'!AC13,ROUNDUP('Proje girdileri'!AD13/'Ayarlar'!$B$7,0))/(52/12),0)),9-4&lt;'Proje girdileri'!AH13),POWER(1-'Proje girdileri'!AT13,9-4),0)+IF(AND(5&gt;IF('Ayarlar'!$B$7&lt;=0,99,ROUNDUP(MAX('Proje girdileri'!AC13,ROUNDUP('Proje girdileri'!AD13/'Ayarlar'!$B$7,0))/(52/12),0)),9-5&lt;'Proje girdileri'!AH13),POWER(1-'Proje girdileri'!AT13,9-5),0)+IF(AND(6&gt;IF('Ayarlar'!$B$7&lt;=0,99,ROUNDUP(MAX('Proje girdileri'!AC13,ROUNDUP('Proje girdileri'!AD13/'Ayarlar'!$B$7,0))/(52/12),0)),9-6&lt;'Proje girdileri'!AH13),POWER(1-'Proje girdileri'!AT13,9-6),0)+IF(AND(7&gt;IF('Ayarlar'!$B$7&lt;=0,99,ROUNDUP(MAX('Proje girdileri'!AC13,ROUNDUP('Proje girdileri'!AD13/'Ayarlar'!$B$7,0))/(52/12),0)),9-7&lt;'Proje girdileri'!AH13),POWER(1-'Proje girdileri'!AT13,9-7),0)+IF(AND(8&gt;IF('Ayarlar'!$B$7&lt;=0,99,ROUNDUP(MAX('Proje girdileri'!AC13,ROUNDUP('Proje girdileri'!AD13/'Ayarlar'!$B$7,0))/(52/12),0)),9-8&lt;'Proje girdileri'!AH13),POWER(1-'Proje girdileri'!AT13,9-8),0)+IF(AND(9&gt;IF('Ayarlar'!$B$7&lt;=0,99,ROUNDUP(MAX('Proje girdileri'!AC13,ROUNDUP('Proje girdileri'!AD13/'Ayarlar'!$B$7,0))/(52/12),0)),9-9&lt;'Proje girdileri'!AH13),POWER(1-'Proje girdileri'!AT13,9-9),0)),IF(9&gt;IF('Ayarlar'!$B$7&lt;=0,99,ROUNDUP(MAX('Proje girdileri'!AC13,ROUNDUP('Proje girdileri'!AD13/'Ayarlar'!$B$7,0))/(52/12),0)),1,0))*('Proje girdileri'!Y13*(1-'Proje girdileri'!AA13-'Proje girdileri'!AB13)-'Proje girdileri'!Z13))-'Proje girdileri'!AJ13)</x:f>
        <x:v>0</x:v>
      </x:c>
      <x:c r="K13" s="24" t="n">
        <x:f>IF(10&gt;'Ayarlar'!$B$6,0,IF(MAX(0,'Ayarlar'!$B$6-IF('Ayarlar'!$B$7&lt;=0,99,ROUNDUP(MAX('Proje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girdileri'!AD13/'Ayarlar'!$B$7,0))/(52/12),0)),10-1&lt;'Proje girdileri'!AH13),POWER(1-'Proje girdileri'!AT13,10-1),0)+IF(AND(2&gt;IF('Ayarlar'!$B$7&lt;=0,99,ROUNDUP(MAX('Proje girdileri'!AC13,ROUNDUP('Proje girdileri'!AD13/'Ayarlar'!$B$7,0))/(52/12),0)),10-2&lt;'Proje girdileri'!AH13),POWER(1-'Proje girdileri'!AT13,10-2),0)+IF(AND(3&gt;IF('Ayarlar'!$B$7&lt;=0,99,ROUNDUP(MAX('Proje girdileri'!AC13,ROUNDUP('Proje girdileri'!AD13/'Ayarlar'!$B$7,0))/(52/12),0)),10-3&lt;'Proje girdileri'!AH13),POWER(1-'Proje girdileri'!AT13,10-3),0)+IF(AND(4&gt;IF('Ayarlar'!$B$7&lt;=0,99,ROUNDUP(MAX('Proje girdileri'!AC13,ROUNDUP('Proje girdileri'!AD13/'Ayarlar'!$B$7,0))/(52/12),0)),10-4&lt;'Proje girdileri'!AH13),POWER(1-'Proje girdileri'!AT13,10-4),0)+IF(AND(5&gt;IF('Ayarlar'!$B$7&lt;=0,99,ROUNDUP(MAX('Proje girdileri'!AC13,ROUNDUP('Proje girdileri'!AD13/'Ayarlar'!$B$7,0))/(52/12),0)),10-5&lt;'Proje girdileri'!AH13),POWER(1-'Proje girdileri'!AT13,10-5),0)+IF(AND(6&gt;IF('Ayarlar'!$B$7&lt;=0,99,ROUNDUP(MAX('Proje girdileri'!AC13,ROUNDUP('Proje girdileri'!AD13/'Ayarlar'!$B$7,0))/(52/12),0)),10-6&lt;'Proje girdileri'!AH13),POWER(1-'Proje girdileri'!AT13,10-6),0)+IF(AND(7&gt;IF('Ayarlar'!$B$7&lt;=0,99,ROUNDUP(MAX('Proje girdileri'!AC13,ROUNDUP('Proje girdileri'!AD13/'Ayarlar'!$B$7,0))/(52/12),0)),10-7&lt;'Proje girdileri'!AH13),POWER(1-'Proje girdileri'!AT13,10-7),0)+IF(AND(8&gt;IF('Ayarlar'!$B$7&lt;=0,99,ROUNDUP(MAX('Proje girdileri'!AC13,ROUNDUP('Proje girdileri'!AD13/'Ayarlar'!$B$7,0))/(52/12),0)),10-8&lt;'Proje girdileri'!AH13),POWER(1-'Proje girdileri'!AT13,10-8),0)+IF(AND(9&gt;IF('Ayarlar'!$B$7&lt;=0,99,ROUNDUP(MAX('Proje girdileri'!AC13,ROUNDUP('Proje girdileri'!AD13/'Ayarlar'!$B$7,0))/(52/12),0)),10-9&lt;'Proje girdileri'!AH13),POWER(1-'Proje girdileri'!AT13,10-9),0)+IF(AND(10&gt;IF('Ayarlar'!$B$7&lt;=0,99,ROUNDUP(MAX('Proje girdileri'!AC13,ROUNDUP('Proje girdileri'!AD13/'Ayarlar'!$B$7,0))/(52/12),0)),10-10&lt;'Proje girdileri'!AH13),POWER(1-'Proje girdileri'!AT13,10-10),0)),IF(10&gt;IF('Ayarlar'!$B$7&lt;=0,99,ROUNDUP(MAX('Proje girdileri'!AC13,ROUNDUP('Proje girdileri'!AD13/'Ayarlar'!$B$7,0))/(52/12),0)),1,0))*('Proje girdileri'!Y13*(1-'Proje girdileri'!AA13-'Proje girdileri'!AB13)-'Proje girdileri'!Z13))-'Proje girdileri'!AJ13)</x:f>
        <x:v>0</x:v>
      </x:c>
      <x:c r="L13" s="24" t="n">
        <x:f>IF(11&gt;'Ayarlar'!$B$6,0,IF(MAX(0,'Ayarlar'!$B$6-IF('Ayarlar'!$B$7&lt;=0,99,ROUNDUP(MAX('Proje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girdileri'!AD13/'Ayarlar'!$B$7,0))/(52/12),0)),11-1&lt;'Proje girdileri'!AH13),POWER(1-'Proje girdileri'!AT13,11-1),0)+IF(AND(2&gt;IF('Ayarlar'!$B$7&lt;=0,99,ROUNDUP(MAX('Proje girdileri'!AC13,ROUNDUP('Proje girdileri'!AD13/'Ayarlar'!$B$7,0))/(52/12),0)),11-2&lt;'Proje girdileri'!AH13),POWER(1-'Proje girdileri'!AT13,11-2),0)+IF(AND(3&gt;IF('Ayarlar'!$B$7&lt;=0,99,ROUNDUP(MAX('Proje girdileri'!AC13,ROUNDUP('Proje girdileri'!AD13/'Ayarlar'!$B$7,0))/(52/12),0)),11-3&lt;'Proje girdileri'!AH13),POWER(1-'Proje girdileri'!AT13,11-3),0)+IF(AND(4&gt;IF('Ayarlar'!$B$7&lt;=0,99,ROUNDUP(MAX('Proje girdileri'!AC13,ROUNDUP('Proje girdileri'!AD13/'Ayarlar'!$B$7,0))/(52/12),0)),11-4&lt;'Proje girdileri'!AH13),POWER(1-'Proje girdileri'!AT13,11-4),0)+IF(AND(5&gt;IF('Ayarlar'!$B$7&lt;=0,99,ROUNDUP(MAX('Proje girdileri'!AC13,ROUNDUP('Proje girdileri'!AD13/'Ayarlar'!$B$7,0))/(52/12),0)),11-5&lt;'Proje girdileri'!AH13),POWER(1-'Proje girdileri'!AT13,11-5),0)+IF(AND(6&gt;IF('Ayarlar'!$B$7&lt;=0,99,ROUNDUP(MAX('Proje girdileri'!AC13,ROUNDUP('Proje girdileri'!AD13/'Ayarlar'!$B$7,0))/(52/12),0)),11-6&lt;'Proje girdileri'!AH13),POWER(1-'Proje girdileri'!AT13,11-6),0)+IF(AND(7&gt;IF('Ayarlar'!$B$7&lt;=0,99,ROUNDUP(MAX('Proje girdileri'!AC13,ROUNDUP('Proje girdileri'!AD13/'Ayarlar'!$B$7,0))/(52/12),0)),11-7&lt;'Proje girdileri'!AH13),POWER(1-'Proje girdileri'!AT13,11-7),0)+IF(AND(8&gt;IF('Ayarlar'!$B$7&lt;=0,99,ROUNDUP(MAX('Proje girdileri'!AC13,ROUNDUP('Proje girdileri'!AD13/'Ayarlar'!$B$7,0))/(52/12),0)),11-8&lt;'Proje girdileri'!AH13),POWER(1-'Proje girdileri'!AT13,11-8),0)+IF(AND(9&gt;IF('Ayarlar'!$B$7&lt;=0,99,ROUNDUP(MAX('Proje girdileri'!AC13,ROUNDUP('Proje girdileri'!AD13/'Ayarlar'!$B$7,0))/(52/12),0)),11-9&lt;'Proje girdileri'!AH13),POWER(1-'Proje girdileri'!AT13,11-9),0)+IF(AND(10&gt;IF('Ayarlar'!$B$7&lt;=0,99,ROUNDUP(MAX('Proje girdileri'!AC13,ROUNDUP('Proje girdileri'!AD13/'Ayarlar'!$B$7,0))/(52/12),0)),11-10&lt;'Proje girdileri'!AH13),POWER(1-'Proje girdileri'!AT13,11-10),0)+IF(AND(11&gt;IF('Ayarlar'!$B$7&lt;=0,99,ROUNDUP(MAX('Proje girdileri'!AC13,ROUNDUP('Proje girdileri'!AD13/'Ayarlar'!$B$7,0))/(52/12),0)),11-11&lt;'Proje girdileri'!AH13),POWER(1-'Proje girdileri'!AT13,11-11),0)),IF(11&gt;IF('Ayarlar'!$B$7&lt;=0,99,ROUNDUP(MAX('Proje girdileri'!AC13,ROUNDUP('Proje girdileri'!AD13/'Ayarlar'!$B$7,0))/(52/12),0)),1,0))*('Proje girdileri'!Y13*(1-'Proje girdileri'!AA13-'Proje girdileri'!AB13)-'Proje girdileri'!Z13))-'Proje girdileri'!AJ13)</x:f>
        <x:v>0</x:v>
      </x:c>
      <x:c r="M13" s="24" t="n">
        <x:f>IF(12&gt;'Ayarlar'!$B$6,0,IF(MAX(0,'Ayarlar'!$B$6-IF('Ayarlar'!$B$7&lt;=0,99,ROUNDUP(MAX('Proje girdileri'!AC13,ROUNDUP('Proje girdileri'!AD13/'Ayarlar'!$B$7,0))/(52/12),0)))=0,0,'Hesap'!I13/MAX(0,'Ayarlar'!$B$6-IF('Ayarlar'!$B$7&lt;=0,99,ROUNDUP(MAX('Proje girdileri'!AC13,ROUNDUP('Proje girdileri'!AD13/'Ayarlar'!$B$7,0))/(52/12),0)))*IF('Proje girdileri'!C13="recurring",(IF(AND(1&gt;IF('Ayarlar'!$B$7&lt;=0,99,ROUNDUP(MAX('Proje girdileri'!AC13,ROUNDUP('Proje girdileri'!AD13/'Ayarlar'!$B$7,0))/(52/12),0)),12-1&lt;'Proje girdileri'!AH13),POWER(1-'Proje girdileri'!AT13,12-1),0)+IF(AND(2&gt;IF('Ayarlar'!$B$7&lt;=0,99,ROUNDUP(MAX('Proje girdileri'!AC13,ROUNDUP('Proje girdileri'!AD13/'Ayarlar'!$B$7,0))/(52/12),0)),12-2&lt;'Proje girdileri'!AH13),POWER(1-'Proje girdileri'!AT13,12-2),0)+IF(AND(3&gt;IF('Ayarlar'!$B$7&lt;=0,99,ROUNDUP(MAX('Proje girdileri'!AC13,ROUNDUP('Proje girdileri'!AD13/'Ayarlar'!$B$7,0))/(52/12),0)),12-3&lt;'Proje girdileri'!AH13),POWER(1-'Proje girdileri'!AT13,12-3),0)+IF(AND(4&gt;IF('Ayarlar'!$B$7&lt;=0,99,ROUNDUP(MAX('Proje girdileri'!AC13,ROUNDUP('Proje girdileri'!AD13/'Ayarlar'!$B$7,0))/(52/12),0)),12-4&lt;'Proje girdileri'!AH13),POWER(1-'Proje girdileri'!AT13,12-4),0)+IF(AND(5&gt;IF('Ayarlar'!$B$7&lt;=0,99,ROUNDUP(MAX('Proje girdileri'!AC13,ROUNDUP('Proje girdileri'!AD13/'Ayarlar'!$B$7,0))/(52/12),0)),12-5&lt;'Proje girdileri'!AH13),POWER(1-'Proje girdileri'!AT13,12-5),0)+IF(AND(6&gt;IF('Ayarlar'!$B$7&lt;=0,99,ROUNDUP(MAX('Proje girdileri'!AC13,ROUNDUP('Proje girdileri'!AD13/'Ayarlar'!$B$7,0))/(52/12),0)),12-6&lt;'Proje girdileri'!AH13),POWER(1-'Proje girdileri'!AT13,12-6),0)+IF(AND(7&gt;IF('Ayarlar'!$B$7&lt;=0,99,ROUNDUP(MAX('Proje girdileri'!AC13,ROUNDUP('Proje girdileri'!AD13/'Ayarlar'!$B$7,0))/(52/12),0)),12-7&lt;'Proje girdileri'!AH13),POWER(1-'Proje girdileri'!AT13,12-7),0)+IF(AND(8&gt;IF('Ayarlar'!$B$7&lt;=0,99,ROUNDUP(MAX('Proje girdileri'!AC13,ROUNDUP('Proje girdileri'!AD13/'Ayarlar'!$B$7,0))/(52/12),0)),12-8&lt;'Proje girdileri'!AH13),POWER(1-'Proje girdileri'!AT13,12-8),0)+IF(AND(9&gt;IF('Ayarlar'!$B$7&lt;=0,99,ROUNDUP(MAX('Proje girdileri'!AC13,ROUNDUP('Proje girdileri'!AD13/'Ayarlar'!$B$7,0))/(52/12),0)),12-9&lt;'Proje girdileri'!AH13),POWER(1-'Proje girdileri'!AT13,12-9),0)+IF(AND(10&gt;IF('Ayarlar'!$B$7&lt;=0,99,ROUNDUP(MAX('Proje girdileri'!AC13,ROUNDUP('Proje girdileri'!AD13/'Ayarlar'!$B$7,0))/(52/12),0)),12-10&lt;'Proje girdileri'!AH13),POWER(1-'Proje girdileri'!AT13,12-10),0)+IF(AND(11&gt;IF('Ayarlar'!$B$7&lt;=0,99,ROUNDUP(MAX('Proje girdileri'!AC13,ROUNDUP('Proje girdileri'!AD13/'Ayarlar'!$B$7,0))/(52/12),0)),12-11&lt;'Proje girdileri'!AH13),POWER(1-'Proje girdileri'!AT13,12-11),0)+IF(AND(12&gt;IF('Ayarlar'!$B$7&lt;=0,99,ROUNDUP(MAX('Proje girdileri'!AC13,ROUNDUP('Proje girdileri'!AD13/'Ayarlar'!$B$7,0))/(52/12),0)),12-12&lt;'Proje girdileri'!AH13),POWER(1-'Proje girdileri'!AT13,12-12),0)),IF(12&gt;IF('Ayarlar'!$B$7&lt;=0,99,ROUNDUP(MAX('Proje girdileri'!AC13,ROUNDUP('Proje girdileri'!AD13/'Ayarlar'!$B$7,0))/(52/12),0)),1,0))*('Proje girdileri'!Y13*(1-'Proje girdileri'!AA13-'Proje girdileri'!AB13)-'Proje girdileri'!Z13))-'Proje girdileri'!AJ13)</x:f>
        <x:v>0</x:v>
      </x:c>
      <x:c r="N13" s="24" t="n">
        <x:f>SUM(B13:M13)</x:f>
        <x:v>597</x:v>
      </x:c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</x:row>
    <x:row r="14" ht="24" customHeight="1">
      <x:c r="A14" s="2" t="str">
        <x:f>'Hesap'!B14</x:f>
        <x:v>Guardian</x:v>
      </x:c>
      <x:c r="B14" s="24" t="n">
        <x:f>IF(1&gt;'Ayarlar'!$B$6,0,IF(MAX(0,'Ayarlar'!$B$6-IF('Ayarlar'!$B$7&lt;=0,99,ROUNDUP(MAX('Proje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girdileri'!AD14/'Ayarlar'!$B$7,0))/(52/12),0)),1-1&lt;'Proje girdileri'!AH14),POWER(1-'Proje girdileri'!AT14,1-1),0)),IF(1&gt;IF('Ayarlar'!$B$7&lt;=0,99,ROUNDUP(MAX('Proje girdileri'!AC14,ROUNDUP('Proje girdileri'!AD14/'Ayarlar'!$B$7,0))/(52/12),0)),1,0))*('Proje girdileri'!Y14*(1-'Proje girdileri'!AA14-'Proje girdileri'!AB14)-'Proje girdileri'!Z14))-'Proje girdileri'!AJ14-'Proje girdileri'!AI14)</x:f>
        <x:v>-83</x:v>
      </x:c>
      <x:c r="C14" s="24" t="n">
        <x:f>IF(2&gt;'Ayarlar'!$B$6,0,IF(MAX(0,'Ayarlar'!$B$6-IF('Ayarlar'!$B$7&lt;=0,99,ROUNDUP(MAX('Proje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girdileri'!AD14/'Ayarlar'!$B$7,0))/(52/12),0)),2-1&lt;'Proje girdileri'!AH14),POWER(1-'Proje girdileri'!AT14,2-1),0)+IF(AND(2&gt;IF('Ayarlar'!$B$7&lt;=0,99,ROUNDUP(MAX('Proje girdileri'!AC14,ROUNDUP('Proje girdileri'!AD14/'Ayarlar'!$B$7,0))/(52/12),0)),2-2&lt;'Proje girdileri'!AH14),POWER(1-'Proje girdileri'!AT14,2-2),0)),IF(2&gt;IF('Ayarlar'!$B$7&lt;=0,99,ROUNDUP(MAX('Proje girdileri'!AC14,ROUNDUP('Proje girdileri'!AD14/'Ayarlar'!$B$7,0))/(52/12),0)),1,0))*('Proje girdileri'!Y14*(1-'Proje girdileri'!AA14-'Proje girdileri'!AB14)-'Proje girdileri'!Z14))-'Proje girdileri'!AJ14)</x:f>
        <x:v>118.29999999999998</x:v>
      </x:c>
      <x:c r="D14" s="24" t="n">
        <x:f>IF(3&gt;'Ayarlar'!$B$6,0,IF(MAX(0,'Ayarlar'!$B$6-IF('Ayarlar'!$B$7&lt;=0,99,ROUNDUP(MAX('Proje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girdileri'!AD14/'Ayarlar'!$B$7,0))/(52/12),0)),3-1&lt;'Proje girdileri'!AH14),POWER(1-'Proje girdileri'!AT14,3-1),0)+IF(AND(2&gt;IF('Ayarlar'!$B$7&lt;=0,99,ROUNDUP(MAX('Proje girdileri'!AC14,ROUNDUP('Proje girdileri'!AD14/'Ayarlar'!$B$7,0))/(52/12),0)),3-2&lt;'Proje girdileri'!AH14),POWER(1-'Proje girdileri'!AT14,3-2),0)+IF(AND(3&gt;IF('Ayarlar'!$B$7&lt;=0,99,ROUNDUP(MAX('Proje girdileri'!AC14,ROUNDUP('Proje girdileri'!AD14/'Ayarlar'!$B$7,0))/(52/12),0)),3-3&lt;'Proje girdileri'!AH14),POWER(1-'Proje girdileri'!AT14,3-3),0)),IF(3&gt;IF('Ayarlar'!$B$7&lt;=0,99,ROUNDUP(MAX('Proje girdileri'!AC14,ROUNDUP('Proje girdileri'!AD14/'Ayarlar'!$B$7,0))/(52/12),0)),1,0))*('Proje girdileri'!Y14*(1-'Proje girdileri'!AA14-'Proje girdileri'!AB14)-'Proje girdileri'!Z14))-'Proje girdileri'!AJ14)</x:f>
        <x:v>118.29999999999998</x:v>
      </x:c>
      <x:c r="E14" s="24" t="n">
        <x:f>IF(4&gt;'Ayarlar'!$B$6,0,IF(MAX(0,'Ayarlar'!$B$6-IF('Ayarlar'!$B$7&lt;=0,99,ROUNDUP(MAX('Proje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girdileri'!AD14/'Ayarlar'!$B$7,0))/(52/12),0)),4-1&lt;'Proje girdileri'!AH14),POWER(1-'Proje girdileri'!AT14,4-1),0)+IF(AND(2&gt;IF('Ayarlar'!$B$7&lt;=0,99,ROUNDUP(MAX('Proje girdileri'!AC14,ROUNDUP('Proje girdileri'!AD14/'Ayarlar'!$B$7,0))/(52/12),0)),4-2&lt;'Proje girdileri'!AH14),POWER(1-'Proje girdileri'!AT14,4-2),0)+IF(AND(3&gt;IF('Ayarlar'!$B$7&lt;=0,99,ROUNDUP(MAX('Proje girdileri'!AC14,ROUNDUP('Proje girdileri'!AD14/'Ayarlar'!$B$7,0))/(52/12),0)),4-3&lt;'Proje girdileri'!AH14),POWER(1-'Proje girdileri'!AT14,4-3),0)+IF(AND(4&gt;IF('Ayarlar'!$B$7&lt;=0,99,ROUNDUP(MAX('Proje girdileri'!AC14,ROUNDUP('Proje girdileri'!AD14/'Ayarlar'!$B$7,0))/(52/12),0)),4-4&lt;'Proje girdileri'!AH14),POWER(1-'Proje girdileri'!AT14,4-4),0)),IF(4&gt;IF('Ayarlar'!$B$7&lt;=0,99,ROUNDUP(MAX('Proje girdileri'!AC14,ROUNDUP('Proje girdileri'!AD14/'Ayarlar'!$B$7,0))/(52/12),0)),1,0))*('Proje girdileri'!Y14*(1-'Proje girdileri'!AA14-'Proje girdileri'!AB14)-'Proje girdileri'!Z14))-'Proje girdileri'!AJ14)</x:f>
        <x:v>118.29999999999998</x:v>
      </x:c>
      <x:c r="F14" s="24" t="n">
        <x:f>IF(5&gt;'Ayarlar'!$B$6,0,IF(MAX(0,'Ayarlar'!$B$6-IF('Ayarlar'!$B$7&lt;=0,99,ROUNDUP(MAX('Proje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girdileri'!AD14/'Ayarlar'!$B$7,0))/(52/12),0)),5-1&lt;'Proje girdileri'!AH14),POWER(1-'Proje girdileri'!AT14,5-1),0)+IF(AND(2&gt;IF('Ayarlar'!$B$7&lt;=0,99,ROUNDUP(MAX('Proje girdileri'!AC14,ROUNDUP('Proje girdileri'!AD14/'Ayarlar'!$B$7,0))/(52/12),0)),5-2&lt;'Proje girdileri'!AH14),POWER(1-'Proje girdileri'!AT14,5-2),0)+IF(AND(3&gt;IF('Ayarlar'!$B$7&lt;=0,99,ROUNDUP(MAX('Proje girdileri'!AC14,ROUNDUP('Proje girdileri'!AD14/'Ayarlar'!$B$7,0))/(52/12),0)),5-3&lt;'Proje girdileri'!AH14),POWER(1-'Proje girdileri'!AT14,5-3),0)+IF(AND(4&gt;IF('Ayarlar'!$B$7&lt;=0,99,ROUNDUP(MAX('Proje girdileri'!AC14,ROUNDUP('Proje girdileri'!AD14/'Ayarlar'!$B$7,0))/(52/12),0)),5-4&lt;'Proje girdileri'!AH14),POWER(1-'Proje girdileri'!AT14,5-4),0)+IF(AND(5&gt;IF('Ayarlar'!$B$7&lt;=0,99,ROUNDUP(MAX('Proje girdileri'!AC14,ROUNDUP('Proje girdileri'!AD14/'Ayarlar'!$B$7,0))/(52/12),0)),5-5&lt;'Proje girdileri'!AH14),POWER(1-'Proje girdileri'!AT14,5-5),0)),IF(5&gt;IF('Ayarlar'!$B$7&lt;=0,99,ROUNDUP(MAX('Proje girdileri'!AC14,ROUNDUP('Proje girdileri'!AD14/'Ayarlar'!$B$7,0))/(52/12),0)),1,0))*('Proje girdileri'!Y14*(1-'Proje girdileri'!AA14-'Proje girdileri'!AB14)-'Proje girdileri'!Z14))-'Proje girdileri'!AJ14)</x:f>
        <x:v>118.29999999999998</x:v>
      </x:c>
      <x:c r="G14" s="24" t="n">
        <x:f>IF(6&gt;'Ayarlar'!$B$6,0,IF(MAX(0,'Ayarlar'!$B$6-IF('Ayarlar'!$B$7&lt;=0,99,ROUNDUP(MAX('Proje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girdileri'!AD14/'Ayarlar'!$B$7,0))/(52/12),0)),6-1&lt;'Proje girdileri'!AH14),POWER(1-'Proje girdileri'!AT14,6-1),0)+IF(AND(2&gt;IF('Ayarlar'!$B$7&lt;=0,99,ROUNDUP(MAX('Proje girdileri'!AC14,ROUNDUP('Proje girdileri'!AD14/'Ayarlar'!$B$7,0))/(52/12),0)),6-2&lt;'Proje girdileri'!AH14),POWER(1-'Proje girdileri'!AT14,6-2),0)+IF(AND(3&gt;IF('Ayarlar'!$B$7&lt;=0,99,ROUNDUP(MAX('Proje girdileri'!AC14,ROUNDUP('Proje girdileri'!AD14/'Ayarlar'!$B$7,0))/(52/12),0)),6-3&lt;'Proje girdileri'!AH14),POWER(1-'Proje girdileri'!AT14,6-3),0)+IF(AND(4&gt;IF('Ayarlar'!$B$7&lt;=0,99,ROUNDUP(MAX('Proje girdileri'!AC14,ROUNDUP('Proje girdileri'!AD14/'Ayarlar'!$B$7,0))/(52/12),0)),6-4&lt;'Proje girdileri'!AH14),POWER(1-'Proje girdileri'!AT14,6-4),0)+IF(AND(5&gt;IF('Ayarlar'!$B$7&lt;=0,99,ROUNDUP(MAX('Proje girdileri'!AC14,ROUNDUP('Proje girdileri'!AD14/'Ayarlar'!$B$7,0))/(52/12),0)),6-5&lt;'Proje girdileri'!AH14),POWER(1-'Proje girdileri'!AT14,6-5),0)+IF(AND(6&gt;IF('Ayarlar'!$B$7&lt;=0,99,ROUNDUP(MAX('Proje girdileri'!AC14,ROUNDUP('Proje girdileri'!AD14/'Ayarlar'!$B$7,0))/(52/12),0)),6-6&lt;'Proje girdileri'!AH14),POWER(1-'Proje girdileri'!AT14,6-6),0)),IF(6&gt;IF('Ayarlar'!$B$7&lt;=0,99,ROUNDUP(MAX('Proje girdileri'!AC14,ROUNDUP('Proje girdileri'!AD14/'Ayarlar'!$B$7,0))/(52/12),0)),1,0))*('Proje girdileri'!Y14*(1-'Proje girdileri'!AA14-'Proje girdileri'!AB14)-'Proje girdileri'!Z14))-'Proje girdileri'!AJ14)</x:f>
        <x:v>118.29999999999998</x:v>
      </x:c>
      <x:c r="H14" s="24" t="n">
        <x:f>IF(7&gt;'Ayarlar'!$B$6,0,IF(MAX(0,'Ayarlar'!$B$6-IF('Ayarlar'!$B$7&lt;=0,99,ROUNDUP(MAX('Proje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girdileri'!AD14/'Ayarlar'!$B$7,0))/(52/12),0)),7-1&lt;'Proje girdileri'!AH14),POWER(1-'Proje girdileri'!AT14,7-1),0)+IF(AND(2&gt;IF('Ayarlar'!$B$7&lt;=0,99,ROUNDUP(MAX('Proje girdileri'!AC14,ROUNDUP('Proje girdileri'!AD14/'Ayarlar'!$B$7,0))/(52/12),0)),7-2&lt;'Proje girdileri'!AH14),POWER(1-'Proje girdileri'!AT14,7-2),0)+IF(AND(3&gt;IF('Ayarlar'!$B$7&lt;=0,99,ROUNDUP(MAX('Proje girdileri'!AC14,ROUNDUP('Proje girdileri'!AD14/'Ayarlar'!$B$7,0))/(52/12),0)),7-3&lt;'Proje girdileri'!AH14),POWER(1-'Proje girdileri'!AT14,7-3),0)+IF(AND(4&gt;IF('Ayarlar'!$B$7&lt;=0,99,ROUNDUP(MAX('Proje girdileri'!AC14,ROUNDUP('Proje girdileri'!AD14/'Ayarlar'!$B$7,0))/(52/12),0)),7-4&lt;'Proje girdileri'!AH14),POWER(1-'Proje girdileri'!AT14,7-4),0)+IF(AND(5&gt;IF('Ayarlar'!$B$7&lt;=0,99,ROUNDUP(MAX('Proje girdileri'!AC14,ROUNDUP('Proje girdileri'!AD14/'Ayarlar'!$B$7,0))/(52/12),0)),7-5&lt;'Proje girdileri'!AH14),POWER(1-'Proje girdileri'!AT14,7-5),0)+IF(AND(6&gt;IF('Ayarlar'!$B$7&lt;=0,99,ROUNDUP(MAX('Proje girdileri'!AC14,ROUNDUP('Proje girdileri'!AD14/'Ayarlar'!$B$7,0))/(52/12),0)),7-6&lt;'Proje girdileri'!AH14),POWER(1-'Proje girdileri'!AT14,7-6),0)+IF(AND(7&gt;IF('Ayarlar'!$B$7&lt;=0,99,ROUNDUP(MAX('Proje girdileri'!AC14,ROUNDUP('Proje girdileri'!AD14/'Ayarlar'!$B$7,0))/(52/12),0)),7-7&lt;'Proje girdileri'!AH14),POWER(1-'Proje girdileri'!AT14,7-7),0)),IF(7&gt;IF('Ayarlar'!$B$7&lt;=0,99,ROUNDUP(MAX('Proje girdileri'!AC14,ROUNDUP('Proje girdileri'!AD14/'Ayarlar'!$B$7,0))/(52/12),0)),1,0))*('Proje girdileri'!Y14*(1-'Proje girdileri'!AA14-'Proje girdileri'!AB14)-'Proje girdileri'!Z14))-'Proje girdileri'!AJ14)</x:f>
        <x:v>0</x:v>
      </x:c>
      <x:c r="I14" s="24" t="n">
        <x:f>IF(8&gt;'Ayarlar'!$B$6,0,IF(MAX(0,'Ayarlar'!$B$6-IF('Ayarlar'!$B$7&lt;=0,99,ROUNDUP(MAX('Proje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girdileri'!AD14/'Ayarlar'!$B$7,0))/(52/12),0)),8-1&lt;'Proje girdileri'!AH14),POWER(1-'Proje girdileri'!AT14,8-1),0)+IF(AND(2&gt;IF('Ayarlar'!$B$7&lt;=0,99,ROUNDUP(MAX('Proje girdileri'!AC14,ROUNDUP('Proje girdileri'!AD14/'Ayarlar'!$B$7,0))/(52/12),0)),8-2&lt;'Proje girdileri'!AH14),POWER(1-'Proje girdileri'!AT14,8-2),0)+IF(AND(3&gt;IF('Ayarlar'!$B$7&lt;=0,99,ROUNDUP(MAX('Proje girdileri'!AC14,ROUNDUP('Proje girdileri'!AD14/'Ayarlar'!$B$7,0))/(52/12),0)),8-3&lt;'Proje girdileri'!AH14),POWER(1-'Proje girdileri'!AT14,8-3),0)+IF(AND(4&gt;IF('Ayarlar'!$B$7&lt;=0,99,ROUNDUP(MAX('Proje girdileri'!AC14,ROUNDUP('Proje girdileri'!AD14/'Ayarlar'!$B$7,0))/(52/12),0)),8-4&lt;'Proje girdileri'!AH14),POWER(1-'Proje girdileri'!AT14,8-4),0)+IF(AND(5&gt;IF('Ayarlar'!$B$7&lt;=0,99,ROUNDUP(MAX('Proje girdileri'!AC14,ROUNDUP('Proje girdileri'!AD14/'Ayarlar'!$B$7,0))/(52/12),0)),8-5&lt;'Proje girdileri'!AH14),POWER(1-'Proje girdileri'!AT14,8-5),0)+IF(AND(6&gt;IF('Ayarlar'!$B$7&lt;=0,99,ROUNDUP(MAX('Proje girdileri'!AC14,ROUNDUP('Proje girdileri'!AD14/'Ayarlar'!$B$7,0))/(52/12),0)),8-6&lt;'Proje girdileri'!AH14),POWER(1-'Proje girdileri'!AT14,8-6),0)+IF(AND(7&gt;IF('Ayarlar'!$B$7&lt;=0,99,ROUNDUP(MAX('Proje girdileri'!AC14,ROUNDUP('Proje girdileri'!AD14/'Ayarlar'!$B$7,0))/(52/12),0)),8-7&lt;'Proje girdileri'!AH14),POWER(1-'Proje girdileri'!AT14,8-7),0)+IF(AND(8&gt;IF('Ayarlar'!$B$7&lt;=0,99,ROUNDUP(MAX('Proje girdileri'!AC14,ROUNDUP('Proje girdileri'!AD14/'Ayarlar'!$B$7,0))/(52/12),0)),8-8&lt;'Proje girdileri'!AH14),POWER(1-'Proje girdileri'!AT14,8-8),0)),IF(8&gt;IF('Ayarlar'!$B$7&lt;=0,99,ROUNDUP(MAX('Proje girdileri'!AC14,ROUNDUP('Proje girdileri'!AD14/'Ayarlar'!$B$7,0))/(52/12),0)),1,0))*('Proje girdileri'!Y14*(1-'Proje girdileri'!AA14-'Proje girdileri'!AB14)-'Proje girdileri'!Z14))-'Proje girdileri'!AJ14)</x:f>
        <x:v>0</x:v>
      </x:c>
      <x:c r="J14" s="24" t="n">
        <x:f>IF(9&gt;'Ayarlar'!$B$6,0,IF(MAX(0,'Ayarlar'!$B$6-IF('Ayarlar'!$B$7&lt;=0,99,ROUNDUP(MAX('Proje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girdileri'!AD14/'Ayarlar'!$B$7,0))/(52/12),0)),9-1&lt;'Proje girdileri'!AH14),POWER(1-'Proje girdileri'!AT14,9-1),0)+IF(AND(2&gt;IF('Ayarlar'!$B$7&lt;=0,99,ROUNDUP(MAX('Proje girdileri'!AC14,ROUNDUP('Proje girdileri'!AD14/'Ayarlar'!$B$7,0))/(52/12),0)),9-2&lt;'Proje girdileri'!AH14),POWER(1-'Proje girdileri'!AT14,9-2),0)+IF(AND(3&gt;IF('Ayarlar'!$B$7&lt;=0,99,ROUNDUP(MAX('Proje girdileri'!AC14,ROUNDUP('Proje girdileri'!AD14/'Ayarlar'!$B$7,0))/(52/12),0)),9-3&lt;'Proje girdileri'!AH14),POWER(1-'Proje girdileri'!AT14,9-3),0)+IF(AND(4&gt;IF('Ayarlar'!$B$7&lt;=0,99,ROUNDUP(MAX('Proje girdileri'!AC14,ROUNDUP('Proje girdileri'!AD14/'Ayarlar'!$B$7,0))/(52/12),0)),9-4&lt;'Proje girdileri'!AH14),POWER(1-'Proje girdileri'!AT14,9-4),0)+IF(AND(5&gt;IF('Ayarlar'!$B$7&lt;=0,99,ROUNDUP(MAX('Proje girdileri'!AC14,ROUNDUP('Proje girdileri'!AD14/'Ayarlar'!$B$7,0))/(52/12),0)),9-5&lt;'Proje girdileri'!AH14),POWER(1-'Proje girdileri'!AT14,9-5),0)+IF(AND(6&gt;IF('Ayarlar'!$B$7&lt;=0,99,ROUNDUP(MAX('Proje girdileri'!AC14,ROUNDUP('Proje girdileri'!AD14/'Ayarlar'!$B$7,0))/(52/12),0)),9-6&lt;'Proje girdileri'!AH14),POWER(1-'Proje girdileri'!AT14,9-6),0)+IF(AND(7&gt;IF('Ayarlar'!$B$7&lt;=0,99,ROUNDUP(MAX('Proje girdileri'!AC14,ROUNDUP('Proje girdileri'!AD14/'Ayarlar'!$B$7,0))/(52/12),0)),9-7&lt;'Proje girdileri'!AH14),POWER(1-'Proje girdileri'!AT14,9-7),0)+IF(AND(8&gt;IF('Ayarlar'!$B$7&lt;=0,99,ROUNDUP(MAX('Proje girdileri'!AC14,ROUNDUP('Proje girdileri'!AD14/'Ayarlar'!$B$7,0))/(52/12),0)),9-8&lt;'Proje girdileri'!AH14),POWER(1-'Proje girdileri'!AT14,9-8),0)+IF(AND(9&gt;IF('Ayarlar'!$B$7&lt;=0,99,ROUNDUP(MAX('Proje girdileri'!AC14,ROUNDUP('Proje girdileri'!AD14/'Ayarlar'!$B$7,0))/(52/12),0)),9-9&lt;'Proje girdileri'!AH14),POWER(1-'Proje girdileri'!AT14,9-9),0)),IF(9&gt;IF('Ayarlar'!$B$7&lt;=0,99,ROUNDUP(MAX('Proje girdileri'!AC14,ROUNDUP('Proje girdileri'!AD14/'Ayarlar'!$B$7,0))/(52/12),0)),1,0))*('Proje girdileri'!Y14*(1-'Proje girdileri'!AA14-'Proje girdileri'!AB14)-'Proje girdileri'!Z14))-'Proje girdileri'!AJ14)</x:f>
        <x:v>0</x:v>
      </x:c>
      <x:c r="K14" s="24" t="n">
        <x:f>IF(10&gt;'Ayarlar'!$B$6,0,IF(MAX(0,'Ayarlar'!$B$6-IF('Ayarlar'!$B$7&lt;=0,99,ROUNDUP(MAX('Proje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girdileri'!AD14/'Ayarlar'!$B$7,0))/(52/12),0)),10-1&lt;'Proje girdileri'!AH14),POWER(1-'Proje girdileri'!AT14,10-1),0)+IF(AND(2&gt;IF('Ayarlar'!$B$7&lt;=0,99,ROUNDUP(MAX('Proje girdileri'!AC14,ROUNDUP('Proje girdileri'!AD14/'Ayarlar'!$B$7,0))/(52/12),0)),10-2&lt;'Proje girdileri'!AH14),POWER(1-'Proje girdileri'!AT14,10-2),0)+IF(AND(3&gt;IF('Ayarlar'!$B$7&lt;=0,99,ROUNDUP(MAX('Proje girdileri'!AC14,ROUNDUP('Proje girdileri'!AD14/'Ayarlar'!$B$7,0))/(52/12),0)),10-3&lt;'Proje girdileri'!AH14),POWER(1-'Proje girdileri'!AT14,10-3),0)+IF(AND(4&gt;IF('Ayarlar'!$B$7&lt;=0,99,ROUNDUP(MAX('Proje girdileri'!AC14,ROUNDUP('Proje girdileri'!AD14/'Ayarlar'!$B$7,0))/(52/12),0)),10-4&lt;'Proje girdileri'!AH14),POWER(1-'Proje girdileri'!AT14,10-4),0)+IF(AND(5&gt;IF('Ayarlar'!$B$7&lt;=0,99,ROUNDUP(MAX('Proje girdileri'!AC14,ROUNDUP('Proje girdileri'!AD14/'Ayarlar'!$B$7,0))/(52/12),0)),10-5&lt;'Proje girdileri'!AH14),POWER(1-'Proje girdileri'!AT14,10-5),0)+IF(AND(6&gt;IF('Ayarlar'!$B$7&lt;=0,99,ROUNDUP(MAX('Proje girdileri'!AC14,ROUNDUP('Proje girdileri'!AD14/'Ayarlar'!$B$7,0))/(52/12),0)),10-6&lt;'Proje girdileri'!AH14),POWER(1-'Proje girdileri'!AT14,10-6),0)+IF(AND(7&gt;IF('Ayarlar'!$B$7&lt;=0,99,ROUNDUP(MAX('Proje girdileri'!AC14,ROUNDUP('Proje girdileri'!AD14/'Ayarlar'!$B$7,0))/(52/12),0)),10-7&lt;'Proje girdileri'!AH14),POWER(1-'Proje girdileri'!AT14,10-7),0)+IF(AND(8&gt;IF('Ayarlar'!$B$7&lt;=0,99,ROUNDUP(MAX('Proje girdileri'!AC14,ROUNDUP('Proje girdileri'!AD14/'Ayarlar'!$B$7,0))/(52/12),0)),10-8&lt;'Proje girdileri'!AH14),POWER(1-'Proje girdileri'!AT14,10-8),0)+IF(AND(9&gt;IF('Ayarlar'!$B$7&lt;=0,99,ROUNDUP(MAX('Proje girdileri'!AC14,ROUNDUP('Proje girdileri'!AD14/'Ayarlar'!$B$7,0))/(52/12),0)),10-9&lt;'Proje girdileri'!AH14),POWER(1-'Proje girdileri'!AT14,10-9),0)+IF(AND(10&gt;IF('Ayarlar'!$B$7&lt;=0,99,ROUNDUP(MAX('Proje girdileri'!AC14,ROUNDUP('Proje girdileri'!AD14/'Ayarlar'!$B$7,0))/(52/12),0)),10-10&lt;'Proje girdileri'!AH14),POWER(1-'Proje girdileri'!AT14,10-10),0)),IF(10&gt;IF('Ayarlar'!$B$7&lt;=0,99,ROUNDUP(MAX('Proje girdileri'!AC14,ROUNDUP('Proje girdileri'!AD14/'Ayarlar'!$B$7,0))/(52/12),0)),1,0))*('Proje girdileri'!Y14*(1-'Proje girdileri'!AA14-'Proje girdileri'!AB14)-'Proje girdileri'!Z14))-'Proje girdileri'!AJ14)</x:f>
        <x:v>0</x:v>
      </x:c>
      <x:c r="L14" s="24" t="n">
        <x:f>IF(11&gt;'Ayarlar'!$B$6,0,IF(MAX(0,'Ayarlar'!$B$6-IF('Ayarlar'!$B$7&lt;=0,99,ROUNDUP(MAX('Proje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girdileri'!AD14/'Ayarlar'!$B$7,0))/(52/12),0)),11-1&lt;'Proje girdileri'!AH14),POWER(1-'Proje girdileri'!AT14,11-1),0)+IF(AND(2&gt;IF('Ayarlar'!$B$7&lt;=0,99,ROUNDUP(MAX('Proje girdileri'!AC14,ROUNDUP('Proje girdileri'!AD14/'Ayarlar'!$B$7,0))/(52/12),0)),11-2&lt;'Proje girdileri'!AH14),POWER(1-'Proje girdileri'!AT14,11-2),0)+IF(AND(3&gt;IF('Ayarlar'!$B$7&lt;=0,99,ROUNDUP(MAX('Proje girdileri'!AC14,ROUNDUP('Proje girdileri'!AD14/'Ayarlar'!$B$7,0))/(52/12),0)),11-3&lt;'Proje girdileri'!AH14),POWER(1-'Proje girdileri'!AT14,11-3),0)+IF(AND(4&gt;IF('Ayarlar'!$B$7&lt;=0,99,ROUNDUP(MAX('Proje girdileri'!AC14,ROUNDUP('Proje girdileri'!AD14/'Ayarlar'!$B$7,0))/(52/12),0)),11-4&lt;'Proje girdileri'!AH14),POWER(1-'Proje girdileri'!AT14,11-4),0)+IF(AND(5&gt;IF('Ayarlar'!$B$7&lt;=0,99,ROUNDUP(MAX('Proje girdileri'!AC14,ROUNDUP('Proje girdileri'!AD14/'Ayarlar'!$B$7,0))/(52/12),0)),11-5&lt;'Proje girdileri'!AH14),POWER(1-'Proje girdileri'!AT14,11-5),0)+IF(AND(6&gt;IF('Ayarlar'!$B$7&lt;=0,99,ROUNDUP(MAX('Proje girdileri'!AC14,ROUNDUP('Proje girdileri'!AD14/'Ayarlar'!$B$7,0))/(52/12),0)),11-6&lt;'Proje girdileri'!AH14),POWER(1-'Proje girdileri'!AT14,11-6),0)+IF(AND(7&gt;IF('Ayarlar'!$B$7&lt;=0,99,ROUNDUP(MAX('Proje girdileri'!AC14,ROUNDUP('Proje girdileri'!AD14/'Ayarlar'!$B$7,0))/(52/12),0)),11-7&lt;'Proje girdileri'!AH14),POWER(1-'Proje girdileri'!AT14,11-7),0)+IF(AND(8&gt;IF('Ayarlar'!$B$7&lt;=0,99,ROUNDUP(MAX('Proje girdileri'!AC14,ROUNDUP('Proje girdileri'!AD14/'Ayarlar'!$B$7,0))/(52/12),0)),11-8&lt;'Proje girdileri'!AH14),POWER(1-'Proje girdileri'!AT14,11-8),0)+IF(AND(9&gt;IF('Ayarlar'!$B$7&lt;=0,99,ROUNDUP(MAX('Proje girdileri'!AC14,ROUNDUP('Proje girdileri'!AD14/'Ayarlar'!$B$7,0))/(52/12),0)),11-9&lt;'Proje girdileri'!AH14),POWER(1-'Proje girdileri'!AT14,11-9),0)+IF(AND(10&gt;IF('Ayarlar'!$B$7&lt;=0,99,ROUNDUP(MAX('Proje girdileri'!AC14,ROUNDUP('Proje girdileri'!AD14/'Ayarlar'!$B$7,0))/(52/12),0)),11-10&lt;'Proje girdileri'!AH14),POWER(1-'Proje girdileri'!AT14,11-10),0)+IF(AND(11&gt;IF('Ayarlar'!$B$7&lt;=0,99,ROUNDUP(MAX('Proje girdileri'!AC14,ROUNDUP('Proje girdileri'!AD14/'Ayarlar'!$B$7,0))/(52/12),0)),11-11&lt;'Proje girdileri'!AH14),POWER(1-'Proje girdileri'!AT14,11-11),0)),IF(11&gt;IF('Ayarlar'!$B$7&lt;=0,99,ROUNDUP(MAX('Proje girdileri'!AC14,ROUNDUP('Proje girdileri'!AD14/'Ayarlar'!$B$7,0))/(52/12),0)),1,0))*('Proje girdileri'!Y14*(1-'Proje girdileri'!AA14-'Proje girdileri'!AB14)-'Proje girdileri'!Z14))-'Proje girdileri'!AJ14)</x:f>
        <x:v>0</x:v>
      </x:c>
      <x:c r="M14" s="24" t="n">
        <x:f>IF(12&gt;'Ayarlar'!$B$6,0,IF(MAX(0,'Ayarlar'!$B$6-IF('Ayarlar'!$B$7&lt;=0,99,ROUNDUP(MAX('Proje girdileri'!AC14,ROUNDUP('Proje girdileri'!AD14/'Ayarlar'!$B$7,0))/(52/12),0)))=0,0,'Hesap'!I14/MAX(0,'Ayarlar'!$B$6-IF('Ayarlar'!$B$7&lt;=0,99,ROUNDUP(MAX('Proje girdileri'!AC14,ROUNDUP('Proje girdileri'!AD14/'Ayarlar'!$B$7,0))/(52/12),0)))*IF('Proje girdileri'!C14="recurring",(IF(AND(1&gt;IF('Ayarlar'!$B$7&lt;=0,99,ROUNDUP(MAX('Proje girdileri'!AC14,ROUNDUP('Proje girdileri'!AD14/'Ayarlar'!$B$7,0))/(52/12),0)),12-1&lt;'Proje girdileri'!AH14),POWER(1-'Proje girdileri'!AT14,12-1),0)+IF(AND(2&gt;IF('Ayarlar'!$B$7&lt;=0,99,ROUNDUP(MAX('Proje girdileri'!AC14,ROUNDUP('Proje girdileri'!AD14/'Ayarlar'!$B$7,0))/(52/12),0)),12-2&lt;'Proje girdileri'!AH14),POWER(1-'Proje girdileri'!AT14,12-2),0)+IF(AND(3&gt;IF('Ayarlar'!$B$7&lt;=0,99,ROUNDUP(MAX('Proje girdileri'!AC14,ROUNDUP('Proje girdileri'!AD14/'Ayarlar'!$B$7,0))/(52/12),0)),12-3&lt;'Proje girdileri'!AH14),POWER(1-'Proje girdileri'!AT14,12-3),0)+IF(AND(4&gt;IF('Ayarlar'!$B$7&lt;=0,99,ROUNDUP(MAX('Proje girdileri'!AC14,ROUNDUP('Proje girdileri'!AD14/'Ayarlar'!$B$7,0))/(52/12),0)),12-4&lt;'Proje girdileri'!AH14),POWER(1-'Proje girdileri'!AT14,12-4),0)+IF(AND(5&gt;IF('Ayarlar'!$B$7&lt;=0,99,ROUNDUP(MAX('Proje girdileri'!AC14,ROUNDUP('Proje girdileri'!AD14/'Ayarlar'!$B$7,0))/(52/12),0)),12-5&lt;'Proje girdileri'!AH14),POWER(1-'Proje girdileri'!AT14,12-5),0)+IF(AND(6&gt;IF('Ayarlar'!$B$7&lt;=0,99,ROUNDUP(MAX('Proje girdileri'!AC14,ROUNDUP('Proje girdileri'!AD14/'Ayarlar'!$B$7,0))/(52/12),0)),12-6&lt;'Proje girdileri'!AH14),POWER(1-'Proje girdileri'!AT14,12-6),0)+IF(AND(7&gt;IF('Ayarlar'!$B$7&lt;=0,99,ROUNDUP(MAX('Proje girdileri'!AC14,ROUNDUP('Proje girdileri'!AD14/'Ayarlar'!$B$7,0))/(52/12),0)),12-7&lt;'Proje girdileri'!AH14),POWER(1-'Proje girdileri'!AT14,12-7),0)+IF(AND(8&gt;IF('Ayarlar'!$B$7&lt;=0,99,ROUNDUP(MAX('Proje girdileri'!AC14,ROUNDUP('Proje girdileri'!AD14/'Ayarlar'!$B$7,0))/(52/12),0)),12-8&lt;'Proje girdileri'!AH14),POWER(1-'Proje girdileri'!AT14,12-8),0)+IF(AND(9&gt;IF('Ayarlar'!$B$7&lt;=0,99,ROUNDUP(MAX('Proje girdileri'!AC14,ROUNDUP('Proje girdileri'!AD14/'Ayarlar'!$B$7,0))/(52/12),0)),12-9&lt;'Proje girdileri'!AH14),POWER(1-'Proje girdileri'!AT14,12-9),0)+IF(AND(10&gt;IF('Ayarlar'!$B$7&lt;=0,99,ROUNDUP(MAX('Proje girdileri'!AC14,ROUNDUP('Proje girdileri'!AD14/'Ayarlar'!$B$7,0))/(52/12),0)),12-10&lt;'Proje girdileri'!AH14),POWER(1-'Proje girdileri'!AT14,12-10),0)+IF(AND(11&gt;IF('Ayarlar'!$B$7&lt;=0,99,ROUNDUP(MAX('Proje girdileri'!AC14,ROUNDUP('Proje girdileri'!AD14/'Ayarlar'!$B$7,0))/(52/12),0)),12-11&lt;'Proje girdileri'!AH14),POWER(1-'Proje girdileri'!AT14,12-11),0)+IF(AND(12&gt;IF('Ayarlar'!$B$7&lt;=0,99,ROUNDUP(MAX('Proje girdileri'!AC14,ROUNDUP('Proje girdileri'!AD14/'Ayarlar'!$B$7,0))/(52/12),0)),12-12&lt;'Proje girdileri'!AH14),POWER(1-'Proje girdileri'!AT14,12-12),0)),IF(12&gt;IF('Ayarlar'!$B$7&lt;=0,99,ROUNDUP(MAX('Proje girdileri'!AC14,ROUNDUP('Proje girdileri'!AD14/'Ayarlar'!$B$7,0))/(52/12),0)),1,0))*('Proje girdileri'!Y14*(1-'Proje girdileri'!AA14-'Proje girdileri'!AB14)-'Proje girdileri'!Z14))-'Proje girdileri'!AJ14)</x:f>
        <x:v>0</x:v>
      </x:c>
      <x:c r="N14" s="24" t="n">
        <x:f>SUM(B14:M14)</x:f>
        <x:v>508.4999999999999</x:v>
      </x:c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</x:row>
    <x:row r="15" ht="24" customHeight="1">
      <x:c r="A15" s="2" t="str">
        <x:f>'Hesap'!B15</x:f>
        <x:v>Keşif sihirbazı</x:v>
      </x:c>
      <x:c r="B15" s="24" t="n">
        <x:f>IF(1&gt;'Ayarlar'!$B$6,0,IF(MAX(0,'Ayarlar'!$B$6-IF('Ayarlar'!$B$7&lt;=0,99,ROUNDUP(MAX('Proje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girdileri'!AD15/'Ayarlar'!$B$7,0))/(52/12),0)),1-1&lt;'Proje girdileri'!AH15),POWER(1-'Proje girdileri'!AT15,1-1),0)),IF(1&gt;IF('Ayarlar'!$B$7&lt;=0,99,ROUNDUP(MAX('Proje girdileri'!AC15,ROUNDUP('Proje girdileri'!AD15/'Ayarlar'!$B$7,0))/(52/12),0)),1,0))*('Proje girdileri'!Y15*(1-'Proje girdileri'!AA15-'Proje girdileri'!AB15)-'Proje girdileri'!Z15))-'Proje girdileri'!AJ15-'Proje girdileri'!AI15)</x:f>
        <x:v>-83</x:v>
      </x:c>
      <x:c r="C15" s="24" t="n">
        <x:f>IF(2&gt;'Ayarlar'!$B$6,0,IF(MAX(0,'Ayarlar'!$B$6-IF('Ayarlar'!$B$7&lt;=0,99,ROUNDUP(MAX('Proje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girdileri'!AD15/'Ayarlar'!$B$7,0))/(52/12),0)),2-1&lt;'Proje girdileri'!AH15),POWER(1-'Proje girdileri'!AT15,2-1),0)+IF(AND(2&gt;IF('Ayarlar'!$B$7&lt;=0,99,ROUNDUP(MAX('Proje girdileri'!AC15,ROUNDUP('Proje girdileri'!AD15/'Ayarlar'!$B$7,0))/(52/12),0)),2-2&lt;'Proje girdileri'!AH15),POWER(1-'Proje girdileri'!AT15,2-2),0)),IF(2&gt;IF('Ayarlar'!$B$7&lt;=0,99,ROUNDUP(MAX('Proje girdileri'!AC15,ROUNDUP('Proje girdileri'!AD15/'Ayarlar'!$B$7,0))/(52/12),0)),1,0))*('Proje girdileri'!Y15*(1-'Proje girdileri'!AA15-'Proje girdileri'!AB15)-'Proje girdileri'!Z15))-'Proje girdileri'!AJ15)</x:f>
        <x:v>-8</x:v>
      </x:c>
      <x:c r="D15" s="24" t="n">
        <x:f>IF(3&gt;'Ayarlar'!$B$6,0,IF(MAX(0,'Ayarlar'!$B$6-IF('Ayarlar'!$B$7&lt;=0,99,ROUNDUP(MAX('Proje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girdileri'!AD15/'Ayarlar'!$B$7,0))/(52/12),0)),3-1&lt;'Proje girdileri'!AH15),POWER(1-'Proje girdileri'!AT15,3-1),0)+IF(AND(2&gt;IF('Ayarlar'!$B$7&lt;=0,99,ROUNDUP(MAX('Proje girdileri'!AC15,ROUNDUP('Proje girdileri'!AD15/'Ayarlar'!$B$7,0))/(52/12),0)),3-2&lt;'Proje girdileri'!AH15),POWER(1-'Proje girdileri'!AT15,3-2),0)+IF(AND(3&gt;IF('Ayarlar'!$B$7&lt;=0,99,ROUNDUP(MAX('Proje girdileri'!AC15,ROUNDUP('Proje girdileri'!AD15/'Ayarlar'!$B$7,0))/(52/12),0)),3-3&lt;'Proje girdileri'!AH15),POWER(1-'Proje girdileri'!AT15,3-3),0)),IF(3&gt;IF('Ayarlar'!$B$7&lt;=0,99,ROUNDUP(MAX('Proje girdileri'!AC15,ROUNDUP('Proje girdileri'!AD15/'Ayarlar'!$B$7,0))/(52/12),0)),1,0))*('Proje girdileri'!Y15*(1-'Proje girdileri'!AA15-'Proje girdileri'!AB15)-'Proje girdileri'!Z15))-'Proje girdileri'!AJ15)</x:f>
        <x:v>116.12499999999997</x:v>
      </x:c>
      <x:c r="E15" s="24" t="n">
        <x:f>IF(4&gt;'Ayarlar'!$B$6,0,IF(MAX(0,'Ayarlar'!$B$6-IF('Ayarlar'!$B$7&lt;=0,99,ROUNDUP(MAX('Proje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girdileri'!AD15/'Ayarlar'!$B$7,0))/(52/12),0)),4-1&lt;'Proje girdileri'!AH15),POWER(1-'Proje girdileri'!AT15,4-1),0)+IF(AND(2&gt;IF('Ayarlar'!$B$7&lt;=0,99,ROUNDUP(MAX('Proje girdileri'!AC15,ROUNDUP('Proje girdileri'!AD15/'Ayarlar'!$B$7,0))/(52/12),0)),4-2&lt;'Proje girdileri'!AH15),POWER(1-'Proje girdileri'!AT15,4-2),0)+IF(AND(3&gt;IF('Ayarlar'!$B$7&lt;=0,99,ROUNDUP(MAX('Proje girdileri'!AC15,ROUNDUP('Proje girdileri'!AD15/'Ayarlar'!$B$7,0))/(52/12),0)),4-3&lt;'Proje girdileri'!AH15),POWER(1-'Proje girdileri'!AT15,4-3),0)+IF(AND(4&gt;IF('Ayarlar'!$B$7&lt;=0,99,ROUNDUP(MAX('Proje girdileri'!AC15,ROUNDUP('Proje girdileri'!AD15/'Ayarlar'!$B$7,0))/(52/12),0)),4-4&lt;'Proje girdileri'!AH15),POWER(1-'Proje girdileri'!AT15,4-4),0)),IF(4&gt;IF('Ayarlar'!$B$7&lt;=0,99,ROUNDUP(MAX('Proje girdileri'!AC15,ROUNDUP('Proje girdileri'!AD15/'Ayarlar'!$B$7,0))/(52/12),0)),1,0))*('Proje girdileri'!Y15*(1-'Proje girdileri'!AA15-'Proje girdileri'!AB15)-'Proje girdileri'!Z15))-'Proje girdileri'!AJ15)</x:f>
        <x:v>116.12499999999997</x:v>
      </x:c>
      <x:c r="F15" s="24" t="n">
        <x:f>IF(5&gt;'Ayarlar'!$B$6,0,IF(MAX(0,'Ayarlar'!$B$6-IF('Ayarlar'!$B$7&lt;=0,99,ROUNDUP(MAX('Proje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girdileri'!AD15/'Ayarlar'!$B$7,0))/(52/12),0)),5-1&lt;'Proje girdileri'!AH15),POWER(1-'Proje girdileri'!AT15,5-1),0)+IF(AND(2&gt;IF('Ayarlar'!$B$7&lt;=0,99,ROUNDUP(MAX('Proje girdileri'!AC15,ROUNDUP('Proje girdileri'!AD15/'Ayarlar'!$B$7,0))/(52/12),0)),5-2&lt;'Proje girdileri'!AH15),POWER(1-'Proje girdileri'!AT15,5-2),0)+IF(AND(3&gt;IF('Ayarlar'!$B$7&lt;=0,99,ROUNDUP(MAX('Proje girdileri'!AC15,ROUNDUP('Proje girdileri'!AD15/'Ayarlar'!$B$7,0))/(52/12),0)),5-3&lt;'Proje girdileri'!AH15),POWER(1-'Proje girdileri'!AT15,5-3),0)+IF(AND(4&gt;IF('Ayarlar'!$B$7&lt;=0,99,ROUNDUP(MAX('Proje girdileri'!AC15,ROUNDUP('Proje girdileri'!AD15/'Ayarlar'!$B$7,0))/(52/12),0)),5-4&lt;'Proje girdileri'!AH15),POWER(1-'Proje girdileri'!AT15,5-4),0)+IF(AND(5&gt;IF('Ayarlar'!$B$7&lt;=0,99,ROUNDUP(MAX('Proje girdileri'!AC15,ROUNDUP('Proje girdileri'!AD15/'Ayarlar'!$B$7,0))/(52/12),0)),5-5&lt;'Proje girdileri'!AH15),POWER(1-'Proje girdileri'!AT15,5-5),0)),IF(5&gt;IF('Ayarlar'!$B$7&lt;=0,99,ROUNDUP(MAX('Proje girdileri'!AC15,ROUNDUP('Proje girdileri'!AD15/'Ayarlar'!$B$7,0))/(52/12),0)),1,0))*('Proje girdileri'!Y15*(1-'Proje girdileri'!AA15-'Proje girdileri'!AB15)-'Proje girdileri'!Z15))-'Proje girdileri'!AJ15)</x:f>
        <x:v>116.12499999999997</x:v>
      </x:c>
      <x:c r="G15" s="24" t="n">
        <x:f>IF(6&gt;'Ayarlar'!$B$6,0,IF(MAX(0,'Ayarlar'!$B$6-IF('Ayarlar'!$B$7&lt;=0,99,ROUNDUP(MAX('Proje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girdileri'!AD15/'Ayarlar'!$B$7,0))/(52/12),0)),6-1&lt;'Proje girdileri'!AH15),POWER(1-'Proje girdileri'!AT15,6-1),0)+IF(AND(2&gt;IF('Ayarlar'!$B$7&lt;=0,99,ROUNDUP(MAX('Proje girdileri'!AC15,ROUNDUP('Proje girdileri'!AD15/'Ayarlar'!$B$7,0))/(52/12),0)),6-2&lt;'Proje girdileri'!AH15),POWER(1-'Proje girdileri'!AT15,6-2),0)+IF(AND(3&gt;IF('Ayarlar'!$B$7&lt;=0,99,ROUNDUP(MAX('Proje girdileri'!AC15,ROUNDUP('Proje girdileri'!AD15/'Ayarlar'!$B$7,0))/(52/12),0)),6-3&lt;'Proje girdileri'!AH15),POWER(1-'Proje girdileri'!AT15,6-3),0)+IF(AND(4&gt;IF('Ayarlar'!$B$7&lt;=0,99,ROUNDUP(MAX('Proje girdileri'!AC15,ROUNDUP('Proje girdileri'!AD15/'Ayarlar'!$B$7,0))/(52/12),0)),6-4&lt;'Proje girdileri'!AH15),POWER(1-'Proje girdileri'!AT15,6-4),0)+IF(AND(5&gt;IF('Ayarlar'!$B$7&lt;=0,99,ROUNDUP(MAX('Proje girdileri'!AC15,ROUNDUP('Proje girdileri'!AD15/'Ayarlar'!$B$7,0))/(52/12),0)),6-5&lt;'Proje girdileri'!AH15),POWER(1-'Proje girdileri'!AT15,6-5),0)+IF(AND(6&gt;IF('Ayarlar'!$B$7&lt;=0,99,ROUNDUP(MAX('Proje girdileri'!AC15,ROUNDUP('Proje girdileri'!AD15/'Ayarlar'!$B$7,0))/(52/12),0)),6-6&lt;'Proje girdileri'!AH15),POWER(1-'Proje girdileri'!AT15,6-6),0)),IF(6&gt;IF('Ayarlar'!$B$7&lt;=0,99,ROUNDUP(MAX('Proje girdileri'!AC15,ROUNDUP('Proje girdileri'!AD15/'Ayarlar'!$B$7,0))/(52/12),0)),1,0))*('Proje girdileri'!Y15*(1-'Proje girdileri'!AA15-'Proje girdileri'!AB15)-'Proje girdileri'!Z15))-'Proje girdileri'!AJ15)</x:f>
        <x:v>116.12499999999997</x:v>
      </x:c>
      <x:c r="H15" s="24" t="n">
        <x:f>IF(7&gt;'Ayarlar'!$B$6,0,IF(MAX(0,'Ayarlar'!$B$6-IF('Ayarlar'!$B$7&lt;=0,99,ROUNDUP(MAX('Proje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girdileri'!AD15/'Ayarlar'!$B$7,0))/(52/12),0)),7-1&lt;'Proje girdileri'!AH15),POWER(1-'Proje girdileri'!AT15,7-1),0)+IF(AND(2&gt;IF('Ayarlar'!$B$7&lt;=0,99,ROUNDUP(MAX('Proje girdileri'!AC15,ROUNDUP('Proje girdileri'!AD15/'Ayarlar'!$B$7,0))/(52/12),0)),7-2&lt;'Proje girdileri'!AH15),POWER(1-'Proje girdileri'!AT15,7-2),0)+IF(AND(3&gt;IF('Ayarlar'!$B$7&lt;=0,99,ROUNDUP(MAX('Proje girdileri'!AC15,ROUNDUP('Proje girdileri'!AD15/'Ayarlar'!$B$7,0))/(52/12),0)),7-3&lt;'Proje girdileri'!AH15),POWER(1-'Proje girdileri'!AT15,7-3),0)+IF(AND(4&gt;IF('Ayarlar'!$B$7&lt;=0,99,ROUNDUP(MAX('Proje girdileri'!AC15,ROUNDUP('Proje girdileri'!AD15/'Ayarlar'!$B$7,0))/(52/12),0)),7-4&lt;'Proje girdileri'!AH15),POWER(1-'Proje girdileri'!AT15,7-4),0)+IF(AND(5&gt;IF('Ayarlar'!$B$7&lt;=0,99,ROUNDUP(MAX('Proje girdileri'!AC15,ROUNDUP('Proje girdileri'!AD15/'Ayarlar'!$B$7,0))/(52/12),0)),7-5&lt;'Proje girdileri'!AH15),POWER(1-'Proje girdileri'!AT15,7-5),0)+IF(AND(6&gt;IF('Ayarlar'!$B$7&lt;=0,99,ROUNDUP(MAX('Proje girdileri'!AC15,ROUNDUP('Proje girdileri'!AD15/'Ayarlar'!$B$7,0))/(52/12),0)),7-6&lt;'Proje girdileri'!AH15),POWER(1-'Proje girdileri'!AT15,7-6),0)+IF(AND(7&gt;IF('Ayarlar'!$B$7&lt;=0,99,ROUNDUP(MAX('Proje girdileri'!AC15,ROUNDUP('Proje girdileri'!AD15/'Ayarlar'!$B$7,0))/(52/12),0)),7-7&lt;'Proje girdileri'!AH15),POWER(1-'Proje girdileri'!AT15,7-7),0)),IF(7&gt;IF('Ayarlar'!$B$7&lt;=0,99,ROUNDUP(MAX('Proje girdileri'!AC15,ROUNDUP('Proje girdileri'!AD15/'Ayarlar'!$B$7,0))/(52/12),0)),1,0))*('Proje girdileri'!Y15*(1-'Proje girdileri'!AA15-'Proje girdileri'!AB15)-'Proje girdileri'!Z15))-'Proje girdileri'!AJ15)</x:f>
        <x:v>0</x:v>
      </x:c>
      <x:c r="I15" s="24" t="n">
        <x:f>IF(8&gt;'Ayarlar'!$B$6,0,IF(MAX(0,'Ayarlar'!$B$6-IF('Ayarlar'!$B$7&lt;=0,99,ROUNDUP(MAX('Proje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girdileri'!AD15/'Ayarlar'!$B$7,0))/(52/12),0)),8-1&lt;'Proje girdileri'!AH15),POWER(1-'Proje girdileri'!AT15,8-1),0)+IF(AND(2&gt;IF('Ayarlar'!$B$7&lt;=0,99,ROUNDUP(MAX('Proje girdileri'!AC15,ROUNDUP('Proje girdileri'!AD15/'Ayarlar'!$B$7,0))/(52/12),0)),8-2&lt;'Proje girdileri'!AH15),POWER(1-'Proje girdileri'!AT15,8-2),0)+IF(AND(3&gt;IF('Ayarlar'!$B$7&lt;=0,99,ROUNDUP(MAX('Proje girdileri'!AC15,ROUNDUP('Proje girdileri'!AD15/'Ayarlar'!$B$7,0))/(52/12),0)),8-3&lt;'Proje girdileri'!AH15),POWER(1-'Proje girdileri'!AT15,8-3),0)+IF(AND(4&gt;IF('Ayarlar'!$B$7&lt;=0,99,ROUNDUP(MAX('Proje girdileri'!AC15,ROUNDUP('Proje girdileri'!AD15/'Ayarlar'!$B$7,0))/(52/12),0)),8-4&lt;'Proje girdileri'!AH15),POWER(1-'Proje girdileri'!AT15,8-4),0)+IF(AND(5&gt;IF('Ayarlar'!$B$7&lt;=0,99,ROUNDUP(MAX('Proje girdileri'!AC15,ROUNDUP('Proje girdileri'!AD15/'Ayarlar'!$B$7,0))/(52/12),0)),8-5&lt;'Proje girdileri'!AH15),POWER(1-'Proje girdileri'!AT15,8-5),0)+IF(AND(6&gt;IF('Ayarlar'!$B$7&lt;=0,99,ROUNDUP(MAX('Proje girdileri'!AC15,ROUNDUP('Proje girdileri'!AD15/'Ayarlar'!$B$7,0))/(52/12),0)),8-6&lt;'Proje girdileri'!AH15),POWER(1-'Proje girdileri'!AT15,8-6),0)+IF(AND(7&gt;IF('Ayarlar'!$B$7&lt;=0,99,ROUNDUP(MAX('Proje girdileri'!AC15,ROUNDUP('Proje girdileri'!AD15/'Ayarlar'!$B$7,0))/(52/12),0)),8-7&lt;'Proje girdileri'!AH15),POWER(1-'Proje girdileri'!AT15,8-7),0)+IF(AND(8&gt;IF('Ayarlar'!$B$7&lt;=0,99,ROUNDUP(MAX('Proje girdileri'!AC15,ROUNDUP('Proje girdileri'!AD15/'Ayarlar'!$B$7,0))/(52/12),0)),8-8&lt;'Proje girdileri'!AH15),POWER(1-'Proje girdileri'!AT15,8-8),0)),IF(8&gt;IF('Ayarlar'!$B$7&lt;=0,99,ROUNDUP(MAX('Proje girdileri'!AC15,ROUNDUP('Proje girdileri'!AD15/'Ayarlar'!$B$7,0))/(52/12),0)),1,0))*('Proje girdileri'!Y15*(1-'Proje girdileri'!AA15-'Proje girdileri'!AB15)-'Proje girdileri'!Z15))-'Proje girdileri'!AJ15)</x:f>
        <x:v>0</x:v>
      </x:c>
      <x:c r="J15" s="24" t="n">
        <x:f>IF(9&gt;'Ayarlar'!$B$6,0,IF(MAX(0,'Ayarlar'!$B$6-IF('Ayarlar'!$B$7&lt;=0,99,ROUNDUP(MAX('Proje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girdileri'!AD15/'Ayarlar'!$B$7,0))/(52/12),0)),9-1&lt;'Proje girdileri'!AH15),POWER(1-'Proje girdileri'!AT15,9-1),0)+IF(AND(2&gt;IF('Ayarlar'!$B$7&lt;=0,99,ROUNDUP(MAX('Proje girdileri'!AC15,ROUNDUP('Proje girdileri'!AD15/'Ayarlar'!$B$7,0))/(52/12),0)),9-2&lt;'Proje girdileri'!AH15),POWER(1-'Proje girdileri'!AT15,9-2),0)+IF(AND(3&gt;IF('Ayarlar'!$B$7&lt;=0,99,ROUNDUP(MAX('Proje girdileri'!AC15,ROUNDUP('Proje girdileri'!AD15/'Ayarlar'!$B$7,0))/(52/12),0)),9-3&lt;'Proje girdileri'!AH15),POWER(1-'Proje girdileri'!AT15,9-3),0)+IF(AND(4&gt;IF('Ayarlar'!$B$7&lt;=0,99,ROUNDUP(MAX('Proje girdileri'!AC15,ROUNDUP('Proje girdileri'!AD15/'Ayarlar'!$B$7,0))/(52/12),0)),9-4&lt;'Proje girdileri'!AH15),POWER(1-'Proje girdileri'!AT15,9-4),0)+IF(AND(5&gt;IF('Ayarlar'!$B$7&lt;=0,99,ROUNDUP(MAX('Proje girdileri'!AC15,ROUNDUP('Proje girdileri'!AD15/'Ayarlar'!$B$7,0))/(52/12),0)),9-5&lt;'Proje girdileri'!AH15),POWER(1-'Proje girdileri'!AT15,9-5),0)+IF(AND(6&gt;IF('Ayarlar'!$B$7&lt;=0,99,ROUNDUP(MAX('Proje girdileri'!AC15,ROUNDUP('Proje girdileri'!AD15/'Ayarlar'!$B$7,0))/(52/12),0)),9-6&lt;'Proje girdileri'!AH15),POWER(1-'Proje girdileri'!AT15,9-6),0)+IF(AND(7&gt;IF('Ayarlar'!$B$7&lt;=0,99,ROUNDUP(MAX('Proje girdileri'!AC15,ROUNDUP('Proje girdileri'!AD15/'Ayarlar'!$B$7,0))/(52/12),0)),9-7&lt;'Proje girdileri'!AH15),POWER(1-'Proje girdileri'!AT15,9-7),0)+IF(AND(8&gt;IF('Ayarlar'!$B$7&lt;=0,99,ROUNDUP(MAX('Proje girdileri'!AC15,ROUNDUP('Proje girdileri'!AD15/'Ayarlar'!$B$7,0))/(52/12),0)),9-8&lt;'Proje girdileri'!AH15),POWER(1-'Proje girdileri'!AT15,9-8),0)+IF(AND(9&gt;IF('Ayarlar'!$B$7&lt;=0,99,ROUNDUP(MAX('Proje girdileri'!AC15,ROUNDUP('Proje girdileri'!AD15/'Ayarlar'!$B$7,0))/(52/12),0)),9-9&lt;'Proje girdileri'!AH15),POWER(1-'Proje girdileri'!AT15,9-9),0)),IF(9&gt;IF('Ayarlar'!$B$7&lt;=0,99,ROUNDUP(MAX('Proje girdileri'!AC15,ROUNDUP('Proje girdileri'!AD15/'Ayarlar'!$B$7,0))/(52/12),0)),1,0))*('Proje girdileri'!Y15*(1-'Proje girdileri'!AA15-'Proje girdileri'!AB15)-'Proje girdileri'!Z15))-'Proje girdileri'!AJ15)</x:f>
        <x:v>0</x:v>
      </x:c>
      <x:c r="K15" s="24" t="n">
        <x:f>IF(10&gt;'Ayarlar'!$B$6,0,IF(MAX(0,'Ayarlar'!$B$6-IF('Ayarlar'!$B$7&lt;=0,99,ROUNDUP(MAX('Proje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girdileri'!AD15/'Ayarlar'!$B$7,0))/(52/12),0)),10-1&lt;'Proje girdileri'!AH15),POWER(1-'Proje girdileri'!AT15,10-1),0)+IF(AND(2&gt;IF('Ayarlar'!$B$7&lt;=0,99,ROUNDUP(MAX('Proje girdileri'!AC15,ROUNDUP('Proje girdileri'!AD15/'Ayarlar'!$B$7,0))/(52/12),0)),10-2&lt;'Proje girdileri'!AH15),POWER(1-'Proje girdileri'!AT15,10-2),0)+IF(AND(3&gt;IF('Ayarlar'!$B$7&lt;=0,99,ROUNDUP(MAX('Proje girdileri'!AC15,ROUNDUP('Proje girdileri'!AD15/'Ayarlar'!$B$7,0))/(52/12),0)),10-3&lt;'Proje girdileri'!AH15),POWER(1-'Proje girdileri'!AT15,10-3),0)+IF(AND(4&gt;IF('Ayarlar'!$B$7&lt;=0,99,ROUNDUP(MAX('Proje girdileri'!AC15,ROUNDUP('Proje girdileri'!AD15/'Ayarlar'!$B$7,0))/(52/12),0)),10-4&lt;'Proje girdileri'!AH15),POWER(1-'Proje girdileri'!AT15,10-4),0)+IF(AND(5&gt;IF('Ayarlar'!$B$7&lt;=0,99,ROUNDUP(MAX('Proje girdileri'!AC15,ROUNDUP('Proje girdileri'!AD15/'Ayarlar'!$B$7,0))/(52/12),0)),10-5&lt;'Proje girdileri'!AH15),POWER(1-'Proje girdileri'!AT15,10-5),0)+IF(AND(6&gt;IF('Ayarlar'!$B$7&lt;=0,99,ROUNDUP(MAX('Proje girdileri'!AC15,ROUNDUP('Proje girdileri'!AD15/'Ayarlar'!$B$7,0))/(52/12),0)),10-6&lt;'Proje girdileri'!AH15),POWER(1-'Proje girdileri'!AT15,10-6),0)+IF(AND(7&gt;IF('Ayarlar'!$B$7&lt;=0,99,ROUNDUP(MAX('Proje girdileri'!AC15,ROUNDUP('Proje girdileri'!AD15/'Ayarlar'!$B$7,0))/(52/12),0)),10-7&lt;'Proje girdileri'!AH15),POWER(1-'Proje girdileri'!AT15,10-7),0)+IF(AND(8&gt;IF('Ayarlar'!$B$7&lt;=0,99,ROUNDUP(MAX('Proje girdileri'!AC15,ROUNDUP('Proje girdileri'!AD15/'Ayarlar'!$B$7,0))/(52/12),0)),10-8&lt;'Proje girdileri'!AH15),POWER(1-'Proje girdileri'!AT15,10-8),0)+IF(AND(9&gt;IF('Ayarlar'!$B$7&lt;=0,99,ROUNDUP(MAX('Proje girdileri'!AC15,ROUNDUP('Proje girdileri'!AD15/'Ayarlar'!$B$7,0))/(52/12),0)),10-9&lt;'Proje girdileri'!AH15),POWER(1-'Proje girdileri'!AT15,10-9),0)+IF(AND(10&gt;IF('Ayarlar'!$B$7&lt;=0,99,ROUNDUP(MAX('Proje girdileri'!AC15,ROUNDUP('Proje girdileri'!AD15/'Ayarlar'!$B$7,0))/(52/12),0)),10-10&lt;'Proje girdileri'!AH15),POWER(1-'Proje girdileri'!AT15,10-10),0)),IF(10&gt;IF('Ayarlar'!$B$7&lt;=0,99,ROUNDUP(MAX('Proje girdileri'!AC15,ROUNDUP('Proje girdileri'!AD15/'Ayarlar'!$B$7,0))/(52/12),0)),1,0))*('Proje girdileri'!Y15*(1-'Proje girdileri'!AA15-'Proje girdileri'!AB15)-'Proje girdileri'!Z15))-'Proje girdileri'!AJ15)</x:f>
        <x:v>0</x:v>
      </x:c>
      <x:c r="L15" s="24" t="n">
        <x:f>IF(11&gt;'Ayarlar'!$B$6,0,IF(MAX(0,'Ayarlar'!$B$6-IF('Ayarlar'!$B$7&lt;=0,99,ROUNDUP(MAX('Proje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girdileri'!AD15/'Ayarlar'!$B$7,0))/(52/12),0)),11-1&lt;'Proje girdileri'!AH15),POWER(1-'Proje girdileri'!AT15,11-1),0)+IF(AND(2&gt;IF('Ayarlar'!$B$7&lt;=0,99,ROUNDUP(MAX('Proje girdileri'!AC15,ROUNDUP('Proje girdileri'!AD15/'Ayarlar'!$B$7,0))/(52/12),0)),11-2&lt;'Proje girdileri'!AH15),POWER(1-'Proje girdileri'!AT15,11-2),0)+IF(AND(3&gt;IF('Ayarlar'!$B$7&lt;=0,99,ROUNDUP(MAX('Proje girdileri'!AC15,ROUNDUP('Proje girdileri'!AD15/'Ayarlar'!$B$7,0))/(52/12),0)),11-3&lt;'Proje girdileri'!AH15),POWER(1-'Proje girdileri'!AT15,11-3),0)+IF(AND(4&gt;IF('Ayarlar'!$B$7&lt;=0,99,ROUNDUP(MAX('Proje girdileri'!AC15,ROUNDUP('Proje girdileri'!AD15/'Ayarlar'!$B$7,0))/(52/12),0)),11-4&lt;'Proje girdileri'!AH15),POWER(1-'Proje girdileri'!AT15,11-4),0)+IF(AND(5&gt;IF('Ayarlar'!$B$7&lt;=0,99,ROUNDUP(MAX('Proje girdileri'!AC15,ROUNDUP('Proje girdileri'!AD15/'Ayarlar'!$B$7,0))/(52/12),0)),11-5&lt;'Proje girdileri'!AH15),POWER(1-'Proje girdileri'!AT15,11-5),0)+IF(AND(6&gt;IF('Ayarlar'!$B$7&lt;=0,99,ROUNDUP(MAX('Proje girdileri'!AC15,ROUNDUP('Proje girdileri'!AD15/'Ayarlar'!$B$7,0))/(52/12),0)),11-6&lt;'Proje girdileri'!AH15),POWER(1-'Proje girdileri'!AT15,11-6),0)+IF(AND(7&gt;IF('Ayarlar'!$B$7&lt;=0,99,ROUNDUP(MAX('Proje girdileri'!AC15,ROUNDUP('Proje girdileri'!AD15/'Ayarlar'!$B$7,0))/(52/12),0)),11-7&lt;'Proje girdileri'!AH15),POWER(1-'Proje girdileri'!AT15,11-7),0)+IF(AND(8&gt;IF('Ayarlar'!$B$7&lt;=0,99,ROUNDUP(MAX('Proje girdileri'!AC15,ROUNDUP('Proje girdileri'!AD15/'Ayarlar'!$B$7,0))/(52/12),0)),11-8&lt;'Proje girdileri'!AH15),POWER(1-'Proje girdileri'!AT15,11-8),0)+IF(AND(9&gt;IF('Ayarlar'!$B$7&lt;=0,99,ROUNDUP(MAX('Proje girdileri'!AC15,ROUNDUP('Proje girdileri'!AD15/'Ayarlar'!$B$7,0))/(52/12),0)),11-9&lt;'Proje girdileri'!AH15),POWER(1-'Proje girdileri'!AT15,11-9),0)+IF(AND(10&gt;IF('Ayarlar'!$B$7&lt;=0,99,ROUNDUP(MAX('Proje girdileri'!AC15,ROUNDUP('Proje girdileri'!AD15/'Ayarlar'!$B$7,0))/(52/12),0)),11-10&lt;'Proje girdileri'!AH15),POWER(1-'Proje girdileri'!AT15,11-10),0)+IF(AND(11&gt;IF('Ayarlar'!$B$7&lt;=0,99,ROUNDUP(MAX('Proje girdileri'!AC15,ROUNDUP('Proje girdileri'!AD15/'Ayarlar'!$B$7,0))/(52/12),0)),11-11&lt;'Proje girdileri'!AH15),POWER(1-'Proje girdileri'!AT15,11-11),0)),IF(11&gt;IF('Ayarlar'!$B$7&lt;=0,99,ROUNDUP(MAX('Proje girdileri'!AC15,ROUNDUP('Proje girdileri'!AD15/'Ayarlar'!$B$7,0))/(52/12),0)),1,0))*('Proje girdileri'!Y15*(1-'Proje girdileri'!AA15-'Proje girdileri'!AB15)-'Proje girdileri'!Z15))-'Proje girdileri'!AJ15)</x:f>
        <x:v>0</x:v>
      </x:c>
      <x:c r="M15" s="24" t="n">
        <x:f>IF(12&gt;'Ayarlar'!$B$6,0,IF(MAX(0,'Ayarlar'!$B$6-IF('Ayarlar'!$B$7&lt;=0,99,ROUNDUP(MAX('Proje girdileri'!AC15,ROUNDUP('Proje girdileri'!AD15/'Ayarlar'!$B$7,0))/(52/12),0)))=0,0,'Hesap'!I15/MAX(0,'Ayarlar'!$B$6-IF('Ayarlar'!$B$7&lt;=0,99,ROUNDUP(MAX('Proje girdileri'!AC15,ROUNDUP('Proje girdileri'!AD15/'Ayarlar'!$B$7,0))/(52/12),0)))*IF('Proje girdileri'!C15="recurring",(IF(AND(1&gt;IF('Ayarlar'!$B$7&lt;=0,99,ROUNDUP(MAX('Proje girdileri'!AC15,ROUNDUP('Proje girdileri'!AD15/'Ayarlar'!$B$7,0))/(52/12),0)),12-1&lt;'Proje girdileri'!AH15),POWER(1-'Proje girdileri'!AT15,12-1),0)+IF(AND(2&gt;IF('Ayarlar'!$B$7&lt;=0,99,ROUNDUP(MAX('Proje girdileri'!AC15,ROUNDUP('Proje girdileri'!AD15/'Ayarlar'!$B$7,0))/(52/12),0)),12-2&lt;'Proje girdileri'!AH15),POWER(1-'Proje girdileri'!AT15,12-2),0)+IF(AND(3&gt;IF('Ayarlar'!$B$7&lt;=0,99,ROUNDUP(MAX('Proje girdileri'!AC15,ROUNDUP('Proje girdileri'!AD15/'Ayarlar'!$B$7,0))/(52/12),0)),12-3&lt;'Proje girdileri'!AH15),POWER(1-'Proje girdileri'!AT15,12-3),0)+IF(AND(4&gt;IF('Ayarlar'!$B$7&lt;=0,99,ROUNDUP(MAX('Proje girdileri'!AC15,ROUNDUP('Proje girdileri'!AD15/'Ayarlar'!$B$7,0))/(52/12),0)),12-4&lt;'Proje girdileri'!AH15),POWER(1-'Proje girdileri'!AT15,12-4),0)+IF(AND(5&gt;IF('Ayarlar'!$B$7&lt;=0,99,ROUNDUP(MAX('Proje girdileri'!AC15,ROUNDUP('Proje girdileri'!AD15/'Ayarlar'!$B$7,0))/(52/12),0)),12-5&lt;'Proje girdileri'!AH15),POWER(1-'Proje girdileri'!AT15,12-5),0)+IF(AND(6&gt;IF('Ayarlar'!$B$7&lt;=0,99,ROUNDUP(MAX('Proje girdileri'!AC15,ROUNDUP('Proje girdileri'!AD15/'Ayarlar'!$B$7,0))/(52/12),0)),12-6&lt;'Proje girdileri'!AH15),POWER(1-'Proje girdileri'!AT15,12-6),0)+IF(AND(7&gt;IF('Ayarlar'!$B$7&lt;=0,99,ROUNDUP(MAX('Proje girdileri'!AC15,ROUNDUP('Proje girdileri'!AD15/'Ayarlar'!$B$7,0))/(52/12),0)),12-7&lt;'Proje girdileri'!AH15),POWER(1-'Proje girdileri'!AT15,12-7),0)+IF(AND(8&gt;IF('Ayarlar'!$B$7&lt;=0,99,ROUNDUP(MAX('Proje girdileri'!AC15,ROUNDUP('Proje girdileri'!AD15/'Ayarlar'!$B$7,0))/(52/12),0)),12-8&lt;'Proje girdileri'!AH15),POWER(1-'Proje girdileri'!AT15,12-8),0)+IF(AND(9&gt;IF('Ayarlar'!$B$7&lt;=0,99,ROUNDUP(MAX('Proje girdileri'!AC15,ROUNDUP('Proje girdileri'!AD15/'Ayarlar'!$B$7,0))/(52/12),0)),12-9&lt;'Proje girdileri'!AH15),POWER(1-'Proje girdileri'!AT15,12-9),0)+IF(AND(10&gt;IF('Ayarlar'!$B$7&lt;=0,99,ROUNDUP(MAX('Proje girdileri'!AC15,ROUNDUP('Proje girdileri'!AD15/'Ayarlar'!$B$7,0))/(52/12),0)),12-10&lt;'Proje girdileri'!AH15),POWER(1-'Proje girdileri'!AT15,12-10),0)+IF(AND(11&gt;IF('Ayarlar'!$B$7&lt;=0,99,ROUNDUP(MAX('Proje girdileri'!AC15,ROUNDUP('Proje girdileri'!AD15/'Ayarlar'!$B$7,0))/(52/12),0)),12-11&lt;'Proje girdileri'!AH15),POWER(1-'Proje girdileri'!AT15,12-11),0)+IF(AND(12&gt;IF('Ayarlar'!$B$7&lt;=0,99,ROUNDUP(MAX('Proje girdileri'!AC15,ROUNDUP('Proje girdileri'!AD15/'Ayarlar'!$B$7,0))/(52/12),0)),12-12&lt;'Proje girdileri'!AH15),POWER(1-'Proje girdileri'!AT15,12-12),0)),IF(12&gt;IF('Ayarlar'!$B$7&lt;=0,99,ROUNDUP(MAX('Proje girdileri'!AC15,ROUNDUP('Proje girdileri'!AD15/'Ayarlar'!$B$7,0))/(52/12),0)),1,0))*('Proje girdileri'!Y15*(1-'Proje girdileri'!AA15-'Proje girdileri'!AB15)-'Proje girdileri'!Z15))-'Proje girdileri'!AJ15)</x:f>
        <x:v>0</x:v>
      </x:c>
      <x:c r="N15" s="24" t="n">
        <x:f>SUM(B15:M15)</x:f>
        <x:v>373.4999999999999</x:v>
      </x:c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</x:row>
    <x:row r="16" ht="24" customHeight="1">
      <x:c r="A16" s="2" t="str">
        <x:f>'Hesap'!B16</x:f>
        <x:v>Sunum çıktı hizmeti</x:v>
      </x:c>
      <x:c r="B16" s="24" t="n">
        <x:f>IF(1&gt;'Ayarlar'!$B$6,0,IF(MAX(0,'Ayarlar'!$B$6-IF('Ayarlar'!$B$7&lt;=0,99,ROUNDUP(MAX('Proje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girdileri'!AD16/'Ayarlar'!$B$7,0))/(52/12),0)),1-1&lt;'Proje girdileri'!AH16),POWER(1-'Proje girdileri'!AT16,1-1),0)),IF(1&gt;IF('Ayarlar'!$B$7&lt;=0,99,ROUNDUP(MAX('Proje girdileri'!AC16,ROUNDUP('Proje girdileri'!AD16/'Ayarlar'!$B$7,0))/(52/12),0)),1,0))*('Proje girdileri'!Y16*(1-'Proje girdileri'!AA16-'Proje girdileri'!AB16)-'Proje girdileri'!Z16))-'Proje girdileri'!AJ16-'Proje girdileri'!AI16)</x:f>
        <x:v>-165</x:v>
      </x:c>
      <x:c r="C16" s="24" t="n">
        <x:f>IF(2&gt;'Ayarlar'!$B$6,0,IF(MAX(0,'Ayarlar'!$B$6-IF('Ayarlar'!$B$7&lt;=0,99,ROUNDUP(MAX('Proje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girdileri'!AD16/'Ayarlar'!$B$7,0))/(52/12),0)),2-1&lt;'Proje girdileri'!AH16),POWER(1-'Proje girdileri'!AT16,2-1),0)+IF(AND(2&gt;IF('Ayarlar'!$B$7&lt;=0,99,ROUNDUP(MAX('Proje girdileri'!AC16,ROUNDUP('Proje girdileri'!AD16/'Ayarlar'!$B$7,0))/(52/12),0)),2-2&lt;'Proje girdileri'!AH16),POWER(1-'Proje girdileri'!AT16,2-2),0)),IF(2&gt;IF('Ayarlar'!$B$7&lt;=0,99,ROUNDUP(MAX('Proje girdileri'!AC16,ROUNDUP('Proje girdileri'!AD16/'Ayarlar'!$B$7,0))/(52/12),0)),1,0))*('Proje girdileri'!Y16*(1-'Proje girdileri'!AA16-'Proje girdileri'!AB16)-'Proje girdileri'!Z16))-'Proje girdileri'!AJ16)</x:f>
        <x:v>196.79999999999998</x:v>
      </x:c>
      <x:c r="D16" s="24" t="n">
        <x:f>IF(3&gt;'Ayarlar'!$B$6,0,IF(MAX(0,'Ayarlar'!$B$6-IF('Ayarlar'!$B$7&lt;=0,99,ROUNDUP(MAX('Proje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girdileri'!AD16/'Ayarlar'!$B$7,0))/(52/12),0)),3-1&lt;'Proje girdileri'!AH16),POWER(1-'Proje girdileri'!AT16,3-1),0)+IF(AND(2&gt;IF('Ayarlar'!$B$7&lt;=0,99,ROUNDUP(MAX('Proje girdileri'!AC16,ROUNDUP('Proje girdileri'!AD16/'Ayarlar'!$B$7,0))/(52/12),0)),3-2&lt;'Proje girdileri'!AH16),POWER(1-'Proje girdileri'!AT16,3-2),0)+IF(AND(3&gt;IF('Ayarlar'!$B$7&lt;=0,99,ROUNDUP(MAX('Proje girdileri'!AC16,ROUNDUP('Proje girdileri'!AD16/'Ayarlar'!$B$7,0))/(52/12),0)),3-3&lt;'Proje girdileri'!AH16),POWER(1-'Proje girdileri'!AT16,3-3),0)),IF(3&gt;IF('Ayarlar'!$B$7&lt;=0,99,ROUNDUP(MAX('Proje girdileri'!AC16,ROUNDUP('Proje girdileri'!AD16/'Ayarlar'!$B$7,0))/(52/12),0)),1,0))*('Proje girdileri'!Y16*(1-'Proje girdileri'!AA16-'Proje girdileri'!AB16)-'Proje girdileri'!Z16))-'Proje girdileri'!AJ16)</x:f>
        <x:v>196.79999999999998</x:v>
      </x:c>
      <x:c r="E16" s="24" t="n">
        <x:f>IF(4&gt;'Ayarlar'!$B$6,0,IF(MAX(0,'Ayarlar'!$B$6-IF('Ayarlar'!$B$7&lt;=0,99,ROUNDUP(MAX('Proje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girdileri'!AD16/'Ayarlar'!$B$7,0))/(52/12),0)),4-1&lt;'Proje girdileri'!AH16),POWER(1-'Proje girdileri'!AT16,4-1),0)+IF(AND(2&gt;IF('Ayarlar'!$B$7&lt;=0,99,ROUNDUP(MAX('Proje girdileri'!AC16,ROUNDUP('Proje girdileri'!AD16/'Ayarlar'!$B$7,0))/(52/12),0)),4-2&lt;'Proje girdileri'!AH16),POWER(1-'Proje girdileri'!AT16,4-2),0)+IF(AND(3&gt;IF('Ayarlar'!$B$7&lt;=0,99,ROUNDUP(MAX('Proje girdileri'!AC16,ROUNDUP('Proje girdileri'!AD16/'Ayarlar'!$B$7,0))/(52/12),0)),4-3&lt;'Proje girdileri'!AH16),POWER(1-'Proje girdileri'!AT16,4-3),0)+IF(AND(4&gt;IF('Ayarlar'!$B$7&lt;=0,99,ROUNDUP(MAX('Proje girdileri'!AC16,ROUNDUP('Proje girdileri'!AD16/'Ayarlar'!$B$7,0))/(52/12),0)),4-4&lt;'Proje girdileri'!AH16),POWER(1-'Proje girdileri'!AT16,4-4),0)),IF(4&gt;IF('Ayarlar'!$B$7&lt;=0,99,ROUNDUP(MAX('Proje girdileri'!AC16,ROUNDUP('Proje girdileri'!AD16/'Ayarlar'!$B$7,0))/(52/12),0)),1,0))*('Proje girdileri'!Y16*(1-'Proje girdileri'!AA16-'Proje girdileri'!AB16)-'Proje girdileri'!Z16))-'Proje girdileri'!AJ16)</x:f>
        <x:v>196.79999999999998</x:v>
      </x:c>
      <x:c r="F16" s="24" t="n">
        <x:f>IF(5&gt;'Ayarlar'!$B$6,0,IF(MAX(0,'Ayarlar'!$B$6-IF('Ayarlar'!$B$7&lt;=0,99,ROUNDUP(MAX('Proje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girdileri'!AD16/'Ayarlar'!$B$7,0))/(52/12),0)),5-1&lt;'Proje girdileri'!AH16),POWER(1-'Proje girdileri'!AT16,5-1),0)+IF(AND(2&gt;IF('Ayarlar'!$B$7&lt;=0,99,ROUNDUP(MAX('Proje girdileri'!AC16,ROUNDUP('Proje girdileri'!AD16/'Ayarlar'!$B$7,0))/(52/12),0)),5-2&lt;'Proje girdileri'!AH16),POWER(1-'Proje girdileri'!AT16,5-2),0)+IF(AND(3&gt;IF('Ayarlar'!$B$7&lt;=0,99,ROUNDUP(MAX('Proje girdileri'!AC16,ROUNDUP('Proje girdileri'!AD16/'Ayarlar'!$B$7,0))/(52/12),0)),5-3&lt;'Proje girdileri'!AH16),POWER(1-'Proje girdileri'!AT16,5-3),0)+IF(AND(4&gt;IF('Ayarlar'!$B$7&lt;=0,99,ROUNDUP(MAX('Proje girdileri'!AC16,ROUNDUP('Proje girdileri'!AD16/'Ayarlar'!$B$7,0))/(52/12),0)),5-4&lt;'Proje girdileri'!AH16),POWER(1-'Proje girdileri'!AT16,5-4),0)+IF(AND(5&gt;IF('Ayarlar'!$B$7&lt;=0,99,ROUNDUP(MAX('Proje girdileri'!AC16,ROUNDUP('Proje girdileri'!AD16/'Ayarlar'!$B$7,0))/(52/12),0)),5-5&lt;'Proje girdileri'!AH16),POWER(1-'Proje girdileri'!AT16,5-5),0)),IF(5&gt;IF('Ayarlar'!$B$7&lt;=0,99,ROUNDUP(MAX('Proje girdileri'!AC16,ROUNDUP('Proje girdileri'!AD16/'Ayarlar'!$B$7,0))/(52/12),0)),1,0))*('Proje girdileri'!Y16*(1-'Proje girdileri'!AA16-'Proje girdileri'!AB16)-'Proje girdileri'!Z16))-'Proje girdileri'!AJ16)</x:f>
        <x:v>196.79999999999998</x:v>
      </x:c>
      <x:c r="G16" s="24" t="n">
        <x:f>IF(6&gt;'Ayarlar'!$B$6,0,IF(MAX(0,'Ayarlar'!$B$6-IF('Ayarlar'!$B$7&lt;=0,99,ROUNDUP(MAX('Proje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girdileri'!AD16/'Ayarlar'!$B$7,0))/(52/12),0)),6-1&lt;'Proje girdileri'!AH16),POWER(1-'Proje girdileri'!AT16,6-1),0)+IF(AND(2&gt;IF('Ayarlar'!$B$7&lt;=0,99,ROUNDUP(MAX('Proje girdileri'!AC16,ROUNDUP('Proje girdileri'!AD16/'Ayarlar'!$B$7,0))/(52/12),0)),6-2&lt;'Proje girdileri'!AH16),POWER(1-'Proje girdileri'!AT16,6-2),0)+IF(AND(3&gt;IF('Ayarlar'!$B$7&lt;=0,99,ROUNDUP(MAX('Proje girdileri'!AC16,ROUNDUP('Proje girdileri'!AD16/'Ayarlar'!$B$7,0))/(52/12),0)),6-3&lt;'Proje girdileri'!AH16),POWER(1-'Proje girdileri'!AT16,6-3),0)+IF(AND(4&gt;IF('Ayarlar'!$B$7&lt;=0,99,ROUNDUP(MAX('Proje girdileri'!AC16,ROUNDUP('Proje girdileri'!AD16/'Ayarlar'!$B$7,0))/(52/12),0)),6-4&lt;'Proje girdileri'!AH16),POWER(1-'Proje girdileri'!AT16,6-4),0)+IF(AND(5&gt;IF('Ayarlar'!$B$7&lt;=0,99,ROUNDUP(MAX('Proje girdileri'!AC16,ROUNDUP('Proje girdileri'!AD16/'Ayarlar'!$B$7,0))/(52/12),0)),6-5&lt;'Proje girdileri'!AH16),POWER(1-'Proje girdileri'!AT16,6-5),0)+IF(AND(6&gt;IF('Ayarlar'!$B$7&lt;=0,99,ROUNDUP(MAX('Proje girdileri'!AC16,ROUNDUP('Proje girdileri'!AD16/'Ayarlar'!$B$7,0))/(52/12),0)),6-6&lt;'Proje girdileri'!AH16),POWER(1-'Proje girdileri'!AT16,6-6),0)),IF(6&gt;IF('Ayarlar'!$B$7&lt;=0,99,ROUNDUP(MAX('Proje girdileri'!AC16,ROUNDUP('Proje girdileri'!AD16/'Ayarlar'!$B$7,0))/(52/12),0)),1,0))*('Proje girdileri'!Y16*(1-'Proje girdileri'!AA16-'Proje girdileri'!AB16)-'Proje girdileri'!Z16))-'Proje girdileri'!AJ16)</x:f>
        <x:v>196.79999999999998</x:v>
      </x:c>
      <x:c r="H16" s="24" t="n">
        <x:f>IF(7&gt;'Ayarlar'!$B$6,0,IF(MAX(0,'Ayarlar'!$B$6-IF('Ayarlar'!$B$7&lt;=0,99,ROUNDUP(MAX('Proje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girdileri'!AD16/'Ayarlar'!$B$7,0))/(52/12),0)),7-1&lt;'Proje girdileri'!AH16),POWER(1-'Proje girdileri'!AT16,7-1),0)+IF(AND(2&gt;IF('Ayarlar'!$B$7&lt;=0,99,ROUNDUP(MAX('Proje girdileri'!AC16,ROUNDUP('Proje girdileri'!AD16/'Ayarlar'!$B$7,0))/(52/12),0)),7-2&lt;'Proje girdileri'!AH16),POWER(1-'Proje girdileri'!AT16,7-2),0)+IF(AND(3&gt;IF('Ayarlar'!$B$7&lt;=0,99,ROUNDUP(MAX('Proje girdileri'!AC16,ROUNDUP('Proje girdileri'!AD16/'Ayarlar'!$B$7,0))/(52/12),0)),7-3&lt;'Proje girdileri'!AH16),POWER(1-'Proje girdileri'!AT16,7-3),0)+IF(AND(4&gt;IF('Ayarlar'!$B$7&lt;=0,99,ROUNDUP(MAX('Proje girdileri'!AC16,ROUNDUP('Proje girdileri'!AD16/'Ayarlar'!$B$7,0))/(52/12),0)),7-4&lt;'Proje girdileri'!AH16),POWER(1-'Proje girdileri'!AT16,7-4),0)+IF(AND(5&gt;IF('Ayarlar'!$B$7&lt;=0,99,ROUNDUP(MAX('Proje girdileri'!AC16,ROUNDUP('Proje girdileri'!AD16/'Ayarlar'!$B$7,0))/(52/12),0)),7-5&lt;'Proje girdileri'!AH16),POWER(1-'Proje girdileri'!AT16,7-5),0)+IF(AND(6&gt;IF('Ayarlar'!$B$7&lt;=0,99,ROUNDUP(MAX('Proje girdileri'!AC16,ROUNDUP('Proje girdileri'!AD16/'Ayarlar'!$B$7,0))/(52/12),0)),7-6&lt;'Proje girdileri'!AH16),POWER(1-'Proje girdileri'!AT16,7-6),0)+IF(AND(7&gt;IF('Ayarlar'!$B$7&lt;=0,99,ROUNDUP(MAX('Proje girdileri'!AC16,ROUNDUP('Proje girdileri'!AD16/'Ayarlar'!$B$7,0))/(52/12),0)),7-7&lt;'Proje girdileri'!AH16),POWER(1-'Proje girdileri'!AT16,7-7),0)),IF(7&gt;IF('Ayarlar'!$B$7&lt;=0,99,ROUNDUP(MAX('Proje girdileri'!AC16,ROUNDUP('Proje girdileri'!AD16/'Ayarlar'!$B$7,0))/(52/12),0)),1,0))*('Proje girdileri'!Y16*(1-'Proje girdileri'!AA16-'Proje girdileri'!AB16)-'Proje girdileri'!Z16))-'Proje girdileri'!AJ16)</x:f>
        <x:v>0</x:v>
      </x:c>
      <x:c r="I16" s="24" t="n">
        <x:f>IF(8&gt;'Ayarlar'!$B$6,0,IF(MAX(0,'Ayarlar'!$B$6-IF('Ayarlar'!$B$7&lt;=0,99,ROUNDUP(MAX('Proje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girdileri'!AD16/'Ayarlar'!$B$7,0))/(52/12),0)),8-1&lt;'Proje girdileri'!AH16),POWER(1-'Proje girdileri'!AT16,8-1),0)+IF(AND(2&gt;IF('Ayarlar'!$B$7&lt;=0,99,ROUNDUP(MAX('Proje girdileri'!AC16,ROUNDUP('Proje girdileri'!AD16/'Ayarlar'!$B$7,0))/(52/12),0)),8-2&lt;'Proje girdileri'!AH16),POWER(1-'Proje girdileri'!AT16,8-2),0)+IF(AND(3&gt;IF('Ayarlar'!$B$7&lt;=0,99,ROUNDUP(MAX('Proje girdileri'!AC16,ROUNDUP('Proje girdileri'!AD16/'Ayarlar'!$B$7,0))/(52/12),0)),8-3&lt;'Proje girdileri'!AH16),POWER(1-'Proje girdileri'!AT16,8-3),0)+IF(AND(4&gt;IF('Ayarlar'!$B$7&lt;=0,99,ROUNDUP(MAX('Proje girdileri'!AC16,ROUNDUP('Proje girdileri'!AD16/'Ayarlar'!$B$7,0))/(52/12),0)),8-4&lt;'Proje girdileri'!AH16),POWER(1-'Proje girdileri'!AT16,8-4),0)+IF(AND(5&gt;IF('Ayarlar'!$B$7&lt;=0,99,ROUNDUP(MAX('Proje girdileri'!AC16,ROUNDUP('Proje girdileri'!AD16/'Ayarlar'!$B$7,0))/(52/12),0)),8-5&lt;'Proje girdileri'!AH16),POWER(1-'Proje girdileri'!AT16,8-5),0)+IF(AND(6&gt;IF('Ayarlar'!$B$7&lt;=0,99,ROUNDUP(MAX('Proje girdileri'!AC16,ROUNDUP('Proje girdileri'!AD16/'Ayarlar'!$B$7,0))/(52/12),0)),8-6&lt;'Proje girdileri'!AH16),POWER(1-'Proje girdileri'!AT16,8-6),0)+IF(AND(7&gt;IF('Ayarlar'!$B$7&lt;=0,99,ROUNDUP(MAX('Proje girdileri'!AC16,ROUNDUP('Proje girdileri'!AD16/'Ayarlar'!$B$7,0))/(52/12),0)),8-7&lt;'Proje girdileri'!AH16),POWER(1-'Proje girdileri'!AT16,8-7),0)+IF(AND(8&gt;IF('Ayarlar'!$B$7&lt;=0,99,ROUNDUP(MAX('Proje girdileri'!AC16,ROUNDUP('Proje girdileri'!AD16/'Ayarlar'!$B$7,0))/(52/12),0)),8-8&lt;'Proje girdileri'!AH16),POWER(1-'Proje girdileri'!AT16,8-8),0)),IF(8&gt;IF('Ayarlar'!$B$7&lt;=0,99,ROUNDUP(MAX('Proje girdileri'!AC16,ROUNDUP('Proje girdileri'!AD16/'Ayarlar'!$B$7,0))/(52/12),0)),1,0))*('Proje girdileri'!Y16*(1-'Proje girdileri'!AA16-'Proje girdileri'!AB16)-'Proje girdileri'!Z16))-'Proje girdileri'!AJ16)</x:f>
        <x:v>0</x:v>
      </x:c>
      <x:c r="J16" s="24" t="n">
        <x:f>IF(9&gt;'Ayarlar'!$B$6,0,IF(MAX(0,'Ayarlar'!$B$6-IF('Ayarlar'!$B$7&lt;=0,99,ROUNDUP(MAX('Proje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girdileri'!AD16/'Ayarlar'!$B$7,0))/(52/12),0)),9-1&lt;'Proje girdileri'!AH16),POWER(1-'Proje girdileri'!AT16,9-1),0)+IF(AND(2&gt;IF('Ayarlar'!$B$7&lt;=0,99,ROUNDUP(MAX('Proje girdileri'!AC16,ROUNDUP('Proje girdileri'!AD16/'Ayarlar'!$B$7,0))/(52/12),0)),9-2&lt;'Proje girdileri'!AH16),POWER(1-'Proje girdileri'!AT16,9-2),0)+IF(AND(3&gt;IF('Ayarlar'!$B$7&lt;=0,99,ROUNDUP(MAX('Proje girdileri'!AC16,ROUNDUP('Proje girdileri'!AD16/'Ayarlar'!$B$7,0))/(52/12),0)),9-3&lt;'Proje girdileri'!AH16),POWER(1-'Proje girdileri'!AT16,9-3),0)+IF(AND(4&gt;IF('Ayarlar'!$B$7&lt;=0,99,ROUNDUP(MAX('Proje girdileri'!AC16,ROUNDUP('Proje girdileri'!AD16/'Ayarlar'!$B$7,0))/(52/12),0)),9-4&lt;'Proje girdileri'!AH16),POWER(1-'Proje girdileri'!AT16,9-4),0)+IF(AND(5&gt;IF('Ayarlar'!$B$7&lt;=0,99,ROUNDUP(MAX('Proje girdileri'!AC16,ROUNDUP('Proje girdileri'!AD16/'Ayarlar'!$B$7,0))/(52/12),0)),9-5&lt;'Proje girdileri'!AH16),POWER(1-'Proje girdileri'!AT16,9-5),0)+IF(AND(6&gt;IF('Ayarlar'!$B$7&lt;=0,99,ROUNDUP(MAX('Proje girdileri'!AC16,ROUNDUP('Proje girdileri'!AD16/'Ayarlar'!$B$7,0))/(52/12),0)),9-6&lt;'Proje girdileri'!AH16),POWER(1-'Proje girdileri'!AT16,9-6),0)+IF(AND(7&gt;IF('Ayarlar'!$B$7&lt;=0,99,ROUNDUP(MAX('Proje girdileri'!AC16,ROUNDUP('Proje girdileri'!AD16/'Ayarlar'!$B$7,0))/(52/12),0)),9-7&lt;'Proje girdileri'!AH16),POWER(1-'Proje girdileri'!AT16,9-7),0)+IF(AND(8&gt;IF('Ayarlar'!$B$7&lt;=0,99,ROUNDUP(MAX('Proje girdileri'!AC16,ROUNDUP('Proje girdileri'!AD16/'Ayarlar'!$B$7,0))/(52/12),0)),9-8&lt;'Proje girdileri'!AH16),POWER(1-'Proje girdileri'!AT16,9-8),0)+IF(AND(9&gt;IF('Ayarlar'!$B$7&lt;=0,99,ROUNDUP(MAX('Proje girdileri'!AC16,ROUNDUP('Proje girdileri'!AD16/'Ayarlar'!$B$7,0))/(52/12),0)),9-9&lt;'Proje girdileri'!AH16),POWER(1-'Proje girdileri'!AT16,9-9),0)),IF(9&gt;IF('Ayarlar'!$B$7&lt;=0,99,ROUNDUP(MAX('Proje girdileri'!AC16,ROUNDUP('Proje girdileri'!AD16/'Ayarlar'!$B$7,0))/(52/12),0)),1,0))*('Proje girdileri'!Y16*(1-'Proje girdileri'!AA16-'Proje girdileri'!AB16)-'Proje girdileri'!Z16))-'Proje girdileri'!AJ16)</x:f>
        <x:v>0</x:v>
      </x:c>
      <x:c r="K16" s="24" t="n">
        <x:f>IF(10&gt;'Ayarlar'!$B$6,0,IF(MAX(0,'Ayarlar'!$B$6-IF('Ayarlar'!$B$7&lt;=0,99,ROUNDUP(MAX('Proje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girdileri'!AD16/'Ayarlar'!$B$7,0))/(52/12),0)),10-1&lt;'Proje girdileri'!AH16),POWER(1-'Proje girdileri'!AT16,10-1),0)+IF(AND(2&gt;IF('Ayarlar'!$B$7&lt;=0,99,ROUNDUP(MAX('Proje girdileri'!AC16,ROUNDUP('Proje girdileri'!AD16/'Ayarlar'!$B$7,0))/(52/12),0)),10-2&lt;'Proje girdileri'!AH16),POWER(1-'Proje girdileri'!AT16,10-2),0)+IF(AND(3&gt;IF('Ayarlar'!$B$7&lt;=0,99,ROUNDUP(MAX('Proje girdileri'!AC16,ROUNDUP('Proje girdileri'!AD16/'Ayarlar'!$B$7,0))/(52/12),0)),10-3&lt;'Proje girdileri'!AH16),POWER(1-'Proje girdileri'!AT16,10-3),0)+IF(AND(4&gt;IF('Ayarlar'!$B$7&lt;=0,99,ROUNDUP(MAX('Proje girdileri'!AC16,ROUNDUP('Proje girdileri'!AD16/'Ayarlar'!$B$7,0))/(52/12),0)),10-4&lt;'Proje girdileri'!AH16),POWER(1-'Proje girdileri'!AT16,10-4),0)+IF(AND(5&gt;IF('Ayarlar'!$B$7&lt;=0,99,ROUNDUP(MAX('Proje girdileri'!AC16,ROUNDUP('Proje girdileri'!AD16/'Ayarlar'!$B$7,0))/(52/12),0)),10-5&lt;'Proje girdileri'!AH16),POWER(1-'Proje girdileri'!AT16,10-5),0)+IF(AND(6&gt;IF('Ayarlar'!$B$7&lt;=0,99,ROUNDUP(MAX('Proje girdileri'!AC16,ROUNDUP('Proje girdileri'!AD16/'Ayarlar'!$B$7,0))/(52/12),0)),10-6&lt;'Proje girdileri'!AH16),POWER(1-'Proje girdileri'!AT16,10-6),0)+IF(AND(7&gt;IF('Ayarlar'!$B$7&lt;=0,99,ROUNDUP(MAX('Proje girdileri'!AC16,ROUNDUP('Proje girdileri'!AD16/'Ayarlar'!$B$7,0))/(52/12),0)),10-7&lt;'Proje girdileri'!AH16),POWER(1-'Proje girdileri'!AT16,10-7),0)+IF(AND(8&gt;IF('Ayarlar'!$B$7&lt;=0,99,ROUNDUP(MAX('Proje girdileri'!AC16,ROUNDUP('Proje girdileri'!AD16/'Ayarlar'!$B$7,0))/(52/12),0)),10-8&lt;'Proje girdileri'!AH16),POWER(1-'Proje girdileri'!AT16,10-8),0)+IF(AND(9&gt;IF('Ayarlar'!$B$7&lt;=0,99,ROUNDUP(MAX('Proje girdileri'!AC16,ROUNDUP('Proje girdileri'!AD16/'Ayarlar'!$B$7,0))/(52/12),0)),10-9&lt;'Proje girdileri'!AH16),POWER(1-'Proje girdileri'!AT16,10-9),0)+IF(AND(10&gt;IF('Ayarlar'!$B$7&lt;=0,99,ROUNDUP(MAX('Proje girdileri'!AC16,ROUNDUP('Proje girdileri'!AD16/'Ayarlar'!$B$7,0))/(52/12),0)),10-10&lt;'Proje girdileri'!AH16),POWER(1-'Proje girdileri'!AT16,10-10),0)),IF(10&gt;IF('Ayarlar'!$B$7&lt;=0,99,ROUNDUP(MAX('Proje girdileri'!AC16,ROUNDUP('Proje girdileri'!AD16/'Ayarlar'!$B$7,0))/(52/12),0)),1,0))*('Proje girdileri'!Y16*(1-'Proje girdileri'!AA16-'Proje girdileri'!AB16)-'Proje girdileri'!Z16))-'Proje girdileri'!AJ16)</x:f>
        <x:v>0</x:v>
      </x:c>
      <x:c r="L16" s="24" t="n">
        <x:f>IF(11&gt;'Ayarlar'!$B$6,0,IF(MAX(0,'Ayarlar'!$B$6-IF('Ayarlar'!$B$7&lt;=0,99,ROUNDUP(MAX('Proje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girdileri'!AD16/'Ayarlar'!$B$7,0))/(52/12),0)),11-1&lt;'Proje girdileri'!AH16),POWER(1-'Proje girdileri'!AT16,11-1),0)+IF(AND(2&gt;IF('Ayarlar'!$B$7&lt;=0,99,ROUNDUP(MAX('Proje girdileri'!AC16,ROUNDUP('Proje girdileri'!AD16/'Ayarlar'!$B$7,0))/(52/12),0)),11-2&lt;'Proje girdileri'!AH16),POWER(1-'Proje girdileri'!AT16,11-2),0)+IF(AND(3&gt;IF('Ayarlar'!$B$7&lt;=0,99,ROUNDUP(MAX('Proje girdileri'!AC16,ROUNDUP('Proje girdileri'!AD16/'Ayarlar'!$B$7,0))/(52/12),0)),11-3&lt;'Proje girdileri'!AH16),POWER(1-'Proje girdileri'!AT16,11-3),0)+IF(AND(4&gt;IF('Ayarlar'!$B$7&lt;=0,99,ROUNDUP(MAX('Proje girdileri'!AC16,ROUNDUP('Proje girdileri'!AD16/'Ayarlar'!$B$7,0))/(52/12),0)),11-4&lt;'Proje girdileri'!AH16),POWER(1-'Proje girdileri'!AT16,11-4),0)+IF(AND(5&gt;IF('Ayarlar'!$B$7&lt;=0,99,ROUNDUP(MAX('Proje girdileri'!AC16,ROUNDUP('Proje girdileri'!AD16/'Ayarlar'!$B$7,0))/(52/12),0)),11-5&lt;'Proje girdileri'!AH16),POWER(1-'Proje girdileri'!AT16,11-5),0)+IF(AND(6&gt;IF('Ayarlar'!$B$7&lt;=0,99,ROUNDUP(MAX('Proje girdileri'!AC16,ROUNDUP('Proje girdileri'!AD16/'Ayarlar'!$B$7,0))/(52/12),0)),11-6&lt;'Proje girdileri'!AH16),POWER(1-'Proje girdileri'!AT16,11-6),0)+IF(AND(7&gt;IF('Ayarlar'!$B$7&lt;=0,99,ROUNDUP(MAX('Proje girdileri'!AC16,ROUNDUP('Proje girdileri'!AD16/'Ayarlar'!$B$7,0))/(52/12),0)),11-7&lt;'Proje girdileri'!AH16),POWER(1-'Proje girdileri'!AT16,11-7),0)+IF(AND(8&gt;IF('Ayarlar'!$B$7&lt;=0,99,ROUNDUP(MAX('Proje girdileri'!AC16,ROUNDUP('Proje girdileri'!AD16/'Ayarlar'!$B$7,0))/(52/12),0)),11-8&lt;'Proje girdileri'!AH16),POWER(1-'Proje girdileri'!AT16,11-8),0)+IF(AND(9&gt;IF('Ayarlar'!$B$7&lt;=0,99,ROUNDUP(MAX('Proje girdileri'!AC16,ROUNDUP('Proje girdileri'!AD16/'Ayarlar'!$B$7,0))/(52/12),0)),11-9&lt;'Proje girdileri'!AH16),POWER(1-'Proje girdileri'!AT16,11-9),0)+IF(AND(10&gt;IF('Ayarlar'!$B$7&lt;=0,99,ROUNDUP(MAX('Proje girdileri'!AC16,ROUNDUP('Proje girdileri'!AD16/'Ayarlar'!$B$7,0))/(52/12),0)),11-10&lt;'Proje girdileri'!AH16),POWER(1-'Proje girdileri'!AT16,11-10),0)+IF(AND(11&gt;IF('Ayarlar'!$B$7&lt;=0,99,ROUNDUP(MAX('Proje girdileri'!AC16,ROUNDUP('Proje girdileri'!AD16/'Ayarlar'!$B$7,0))/(52/12),0)),11-11&lt;'Proje girdileri'!AH16),POWER(1-'Proje girdileri'!AT16,11-11),0)),IF(11&gt;IF('Ayarlar'!$B$7&lt;=0,99,ROUNDUP(MAX('Proje girdileri'!AC16,ROUNDUP('Proje girdileri'!AD16/'Ayarlar'!$B$7,0))/(52/12),0)),1,0))*('Proje girdileri'!Y16*(1-'Proje girdileri'!AA16-'Proje girdileri'!AB16)-'Proje girdileri'!Z16))-'Proje girdileri'!AJ16)</x:f>
        <x:v>0</x:v>
      </x:c>
      <x:c r="M16" s="24" t="n">
        <x:f>IF(12&gt;'Ayarlar'!$B$6,0,IF(MAX(0,'Ayarlar'!$B$6-IF('Ayarlar'!$B$7&lt;=0,99,ROUNDUP(MAX('Proje girdileri'!AC16,ROUNDUP('Proje girdileri'!AD16/'Ayarlar'!$B$7,0))/(52/12),0)))=0,0,'Hesap'!I16/MAX(0,'Ayarlar'!$B$6-IF('Ayarlar'!$B$7&lt;=0,99,ROUNDUP(MAX('Proje girdileri'!AC16,ROUNDUP('Proje girdileri'!AD16/'Ayarlar'!$B$7,0))/(52/12),0)))*IF('Proje girdileri'!C16="recurring",(IF(AND(1&gt;IF('Ayarlar'!$B$7&lt;=0,99,ROUNDUP(MAX('Proje girdileri'!AC16,ROUNDUP('Proje girdileri'!AD16/'Ayarlar'!$B$7,0))/(52/12),0)),12-1&lt;'Proje girdileri'!AH16),POWER(1-'Proje girdileri'!AT16,12-1),0)+IF(AND(2&gt;IF('Ayarlar'!$B$7&lt;=0,99,ROUNDUP(MAX('Proje girdileri'!AC16,ROUNDUP('Proje girdileri'!AD16/'Ayarlar'!$B$7,0))/(52/12),0)),12-2&lt;'Proje girdileri'!AH16),POWER(1-'Proje girdileri'!AT16,12-2),0)+IF(AND(3&gt;IF('Ayarlar'!$B$7&lt;=0,99,ROUNDUP(MAX('Proje girdileri'!AC16,ROUNDUP('Proje girdileri'!AD16/'Ayarlar'!$B$7,0))/(52/12),0)),12-3&lt;'Proje girdileri'!AH16),POWER(1-'Proje girdileri'!AT16,12-3),0)+IF(AND(4&gt;IF('Ayarlar'!$B$7&lt;=0,99,ROUNDUP(MAX('Proje girdileri'!AC16,ROUNDUP('Proje girdileri'!AD16/'Ayarlar'!$B$7,0))/(52/12),0)),12-4&lt;'Proje girdileri'!AH16),POWER(1-'Proje girdileri'!AT16,12-4),0)+IF(AND(5&gt;IF('Ayarlar'!$B$7&lt;=0,99,ROUNDUP(MAX('Proje girdileri'!AC16,ROUNDUP('Proje girdileri'!AD16/'Ayarlar'!$B$7,0))/(52/12),0)),12-5&lt;'Proje girdileri'!AH16),POWER(1-'Proje girdileri'!AT16,12-5),0)+IF(AND(6&gt;IF('Ayarlar'!$B$7&lt;=0,99,ROUNDUP(MAX('Proje girdileri'!AC16,ROUNDUP('Proje girdileri'!AD16/'Ayarlar'!$B$7,0))/(52/12),0)),12-6&lt;'Proje girdileri'!AH16),POWER(1-'Proje girdileri'!AT16,12-6),0)+IF(AND(7&gt;IF('Ayarlar'!$B$7&lt;=0,99,ROUNDUP(MAX('Proje girdileri'!AC16,ROUNDUP('Proje girdileri'!AD16/'Ayarlar'!$B$7,0))/(52/12),0)),12-7&lt;'Proje girdileri'!AH16),POWER(1-'Proje girdileri'!AT16,12-7),0)+IF(AND(8&gt;IF('Ayarlar'!$B$7&lt;=0,99,ROUNDUP(MAX('Proje girdileri'!AC16,ROUNDUP('Proje girdileri'!AD16/'Ayarlar'!$B$7,0))/(52/12),0)),12-8&lt;'Proje girdileri'!AH16),POWER(1-'Proje girdileri'!AT16,12-8),0)+IF(AND(9&gt;IF('Ayarlar'!$B$7&lt;=0,99,ROUNDUP(MAX('Proje girdileri'!AC16,ROUNDUP('Proje girdileri'!AD16/'Ayarlar'!$B$7,0))/(52/12),0)),12-9&lt;'Proje girdileri'!AH16),POWER(1-'Proje girdileri'!AT16,12-9),0)+IF(AND(10&gt;IF('Ayarlar'!$B$7&lt;=0,99,ROUNDUP(MAX('Proje girdileri'!AC16,ROUNDUP('Proje girdileri'!AD16/'Ayarlar'!$B$7,0))/(52/12),0)),12-10&lt;'Proje girdileri'!AH16),POWER(1-'Proje girdileri'!AT16,12-10),0)+IF(AND(11&gt;IF('Ayarlar'!$B$7&lt;=0,99,ROUNDUP(MAX('Proje girdileri'!AC16,ROUNDUP('Proje girdileri'!AD16/'Ayarlar'!$B$7,0))/(52/12),0)),12-11&lt;'Proje girdileri'!AH16),POWER(1-'Proje girdileri'!AT16,12-11),0)+IF(AND(12&gt;IF('Ayarlar'!$B$7&lt;=0,99,ROUNDUP(MAX('Proje girdileri'!AC16,ROUNDUP('Proje girdileri'!AD16/'Ayarlar'!$B$7,0))/(52/12),0)),12-12&lt;'Proje girdileri'!AH16),POWER(1-'Proje girdileri'!AT16,12-12),0)),IF(12&gt;IF('Ayarlar'!$B$7&lt;=0,99,ROUNDUP(MAX('Proje girdileri'!AC16,ROUNDUP('Proje girdileri'!AD16/'Ayarlar'!$B$7,0))/(52/12),0)),1,0))*('Proje girdileri'!Y16*(1-'Proje girdileri'!AA16-'Proje girdileri'!AB16)-'Proje girdileri'!Z16))-'Proje girdileri'!AJ16)</x:f>
        <x:v>0</x:v>
      </x:c>
      <x:c r="N16" s="24" t="n">
        <x:f>SUM(B16:M16)</x:f>
        <x:v>818.9999999999999</x:v>
      </x:c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</x:row>
    <x:row r="17" ht="24" customHeight="1">
      <x:c r="A17" s="2" t="str">
        <x:f>'Hesap'!B17</x:f>
        <x:v>CronHR demo kiti</x:v>
      </x:c>
      <x:c r="B17" s="24" t="n">
        <x:f>IF(1&gt;'Ayarlar'!$B$6,0,IF(MAX(0,'Ayarlar'!$B$6-IF('Ayarlar'!$B$7&lt;=0,99,ROUNDUP(MAX('Proje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girdileri'!AD17/'Ayarlar'!$B$7,0))/(52/12),0)),1-1&lt;'Proje girdileri'!AH17),POWER(1-'Proje girdileri'!AT17,1-1),0)),IF(1&gt;IF('Ayarlar'!$B$7&lt;=0,99,ROUNDUP(MAX('Proje girdileri'!AC17,ROUNDUP('Proje girdileri'!AD17/'Ayarlar'!$B$7,0))/(52/12),0)),1,0))*('Proje girdileri'!Y17*(1-'Proje girdileri'!AA17-'Proje girdileri'!AB17)-'Proje girdileri'!Z17))-'Proje girdileri'!AJ17-'Proje girdileri'!AI17)</x:f>
        <x:v>-165</x:v>
      </x:c>
      <x:c r="C17" s="24" t="n">
        <x:f>IF(2&gt;'Ayarlar'!$B$6,0,IF(MAX(0,'Ayarlar'!$B$6-IF('Ayarlar'!$B$7&lt;=0,99,ROUNDUP(MAX('Proje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girdileri'!AD17/'Ayarlar'!$B$7,0))/(52/12),0)),2-1&lt;'Proje girdileri'!AH17),POWER(1-'Proje girdileri'!AT17,2-1),0)+IF(AND(2&gt;IF('Ayarlar'!$B$7&lt;=0,99,ROUNDUP(MAX('Proje girdileri'!AC17,ROUNDUP('Proje girdileri'!AD17/'Ayarlar'!$B$7,0))/(52/12),0)),2-2&lt;'Proje girdileri'!AH17),POWER(1-'Proje girdileri'!AT17,2-2),0)),IF(2&gt;IF('Ayarlar'!$B$7&lt;=0,99,ROUNDUP(MAX('Proje girdileri'!AC17,ROUNDUP('Proje girdileri'!AD17/'Ayarlar'!$B$7,0))/(52/12),0)),1,0))*('Proje girdileri'!Y17*(1-'Proje girdileri'!AA17-'Proje girdileri'!AB17)-'Proje girdileri'!Z17))-'Proje girdileri'!AJ17)</x:f>
        <x:v>-15</x:v>
      </x:c>
      <x:c r="D17" s="24" t="n">
        <x:f>IF(3&gt;'Ayarlar'!$B$6,0,IF(MAX(0,'Ayarlar'!$B$6-IF('Ayarlar'!$B$7&lt;=0,99,ROUNDUP(MAX('Proje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girdileri'!AD17/'Ayarlar'!$B$7,0))/(52/12),0)),3-1&lt;'Proje girdileri'!AH17),POWER(1-'Proje girdileri'!AT17,3-1),0)+IF(AND(2&gt;IF('Ayarlar'!$B$7&lt;=0,99,ROUNDUP(MAX('Proje girdileri'!AC17,ROUNDUP('Proje girdileri'!AD17/'Ayarlar'!$B$7,0))/(52/12),0)),3-2&lt;'Proje girdileri'!AH17),POWER(1-'Proje girdileri'!AT17,3-2),0)+IF(AND(3&gt;IF('Ayarlar'!$B$7&lt;=0,99,ROUNDUP(MAX('Proje girdileri'!AC17,ROUNDUP('Proje girdileri'!AD17/'Ayarlar'!$B$7,0))/(52/12),0)),3-3&lt;'Proje girdileri'!AH17),POWER(1-'Proje girdileri'!AT17,3-3),0)),IF(3&gt;IF('Ayarlar'!$B$7&lt;=0,99,ROUNDUP(MAX('Proje girdileri'!AC17,ROUNDUP('Proje girdileri'!AD17/'Ayarlar'!$B$7,0))/(52/12),0)),1,0))*('Proje girdileri'!Y17*(1-'Proje girdileri'!AA17-'Proje girdileri'!AB17)-'Proje girdileri'!Z17))-'Proje girdileri'!AJ17)</x:f>
        <x:v>593</x:v>
      </x:c>
      <x:c r="E17" s="24" t="n">
        <x:f>IF(4&gt;'Ayarlar'!$B$6,0,IF(MAX(0,'Ayarlar'!$B$6-IF('Ayarlar'!$B$7&lt;=0,99,ROUNDUP(MAX('Proje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girdileri'!AD17/'Ayarlar'!$B$7,0))/(52/12),0)),4-1&lt;'Proje girdileri'!AH17),POWER(1-'Proje girdileri'!AT17,4-1),0)+IF(AND(2&gt;IF('Ayarlar'!$B$7&lt;=0,99,ROUNDUP(MAX('Proje girdileri'!AC17,ROUNDUP('Proje girdileri'!AD17/'Ayarlar'!$B$7,0))/(52/12),0)),4-2&lt;'Proje girdileri'!AH17),POWER(1-'Proje girdileri'!AT17,4-2),0)+IF(AND(3&gt;IF('Ayarlar'!$B$7&lt;=0,99,ROUNDUP(MAX('Proje girdileri'!AC17,ROUNDUP('Proje girdileri'!AD17/'Ayarlar'!$B$7,0))/(52/12),0)),4-3&lt;'Proje girdileri'!AH17),POWER(1-'Proje girdileri'!AT17,4-3),0)+IF(AND(4&gt;IF('Ayarlar'!$B$7&lt;=0,99,ROUNDUP(MAX('Proje girdileri'!AC17,ROUNDUP('Proje girdileri'!AD17/'Ayarlar'!$B$7,0))/(52/12),0)),4-4&lt;'Proje girdileri'!AH17),POWER(1-'Proje girdileri'!AT17,4-4),0)),IF(4&gt;IF('Ayarlar'!$B$7&lt;=0,99,ROUNDUP(MAX('Proje girdileri'!AC17,ROUNDUP('Proje girdileri'!AD17/'Ayarlar'!$B$7,0))/(52/12),0)),1,0))*('Proje girdileri'!Y17*(1-'Proje girdileri'!AA17-'Proje girdileri'!AB17)-'Proje girdileri'!Z17))-'Proje girdileri'!AJ17)</x:f>
        <x:v>593</x:v>
      </x:c>
      <x:c r="F17" s="24" t="n">
        <x:f>IF(5&gt;'Ayarlar'!$B$6,0,IF(MAX(0,'Ayarlar'!$B$6-IF('Ayarlar'!$B$7&lt;=0,99,ROUNDUP(MAX('Proje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girdileri'!AD17/'Ayarlar'!$B$7,0))/(52/12),0)),5-1&lt;'Proje girdileri'!AH17),POWER(1-'Proje girdileri'!AT17,5-1),0)+IF(AND(2&gt;IF('Ayarlar'!$B$7&lt;=0,99,ROUNDUP(MAX('Proje girdileri'!AC17,ROUNDUP('Proje girdileri'!AD17/'Ayarlar'!$B$7,0))/(52/12),0)),5-2&lt;'Proje girdileri'!AH17),POWER(1-'Proje girdileri'!AT17,5-2),0)+IF(AND(3&gt;IF('Ayarlar'!$B$7&lt;=0,99,ROUNDUP(MAX('Proje girdileri'!AC17,ROUNDUP('Proje girdileri'!AD17/'Ayarlar'!$B$7,0))/(52/12),0)),5-3&lt;'Proje girdileri'!AH17),POWER(1-'Proje girdileri'!AT17,5-3),0)+IF(AND(4&gt;IF('Ayarlar'!$B$7&lt;=0,99,ROUNDUP(MAX('Proje girdileri'!AC17,ROUNDUP('Proje girdileri'!AD17/'Ayarlar'!$B$7,0))/(52/12),0)),5-4&lt;'Proje girdileri'!AH17),POWER(1-'Proje girdileri'!AT17,5-4),0)+IF(AND(5&gt;IF('Ayarlar'!$B$7&lt;=0,99,ROUNDUP(MAX('Proje girdileri'!AC17,ROUNDUP('Proje girdileri'!AD17/'Ayarlar'!$B$7,0))/(52/12),0)),5-5&lt;'Proje girdileri'!AH17),POWER(1-'Proje girdileri'!AT17,5-5),0)),IF(5&gt;IF('Ayarlar'!$B$7&lt;=0,99,ROUNDUP(MAX('Proje girdileri'!AC17,ROUNDUP('Proje girdileri'!AD17/'Ayarlar'!$B$7,0))/(52/12),0)),1,0))*('Proje girdileri'!Y17*(1-'Proje girdileri'!AA17-'Proje girdileri'!AB17)-'Proje girdileri'!Z17))-'Proje girdileri'!AJ17)</x:f>
        <x:v>593</x:v>
      </x:c>
      <x:c r="G17" s="24" t="n">
        <x:f>IF(6&gt;'Ayarlar'!$B$6,0,IF(MAX(0,'Ayarlar'!$B$6-IF('Ayarlar'!$B$7&lt;=0,99,ROUNDUP(MAX('Proje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girdileri'!AD17/'Ayarlar'!$B$7,0))/(52/12),0)),6-1&lt;'Proje girdileri'!AH17),POWER(1-'Proje girdileri'!AT17,6-1),0)+IF(AND(2&gt;IF('Ayarlar'!$B$7&lt;=0,99,ROUNDUP(MAX('Proje girdileri'!AC17,ROUNDUP('Proje girdileri'!AD17/'Ayarlar'!$B$7,0))/(52/12),0)),6-2&lt;'Proje girdileri'!AH17),POWER(1-'Proje girdileri'!AT17,6-2),0)+IF(AND(3&gt;IF('Ayarlar'!$B$7&lt;=0,99,ROUNDUP(MAX('Proje girdileri'!AC17,ROUNDUP('Proje girdileri'!AD17/'Ayarlar'!$B$7,0))/(52/12),0)),6-3&lt;'Proje girdileri'!AH17),POWER(1-'Proje girdileri'!AT17,6-3),0)+IF(AND(4&gt;IF('Ayarlar'!$B$7&lt;=0,99,ROUNDUP(MAX('Proje girdileri'!AC17,ROUNDUP('Proje girdileri'!AD17/'Ayarlar'!$B$7,0))/(52/12),0)),6-4&lt;'Proje girdileri'!AH17),POWER(1-'Proje girdileri'!AT17,6-4),0)+IF(AND(5&gt;IF('Ayarlar'!$B$7&lt;=0,99,ROUNDUP(MAX('Proje girdileri'!AC17,ROUNDUP('Proje girdileri'!AD17/'Ayarlar'!$B$7,0))/(52/12),0)),6-5&lt;'Proje girdileri'!AH17),POWER(1-'Proje girdileri'!AT17,6-5),0)+IF(AND(6&gt;IF('Ayarlar'!$B$7&lt;=0,99,ROUNDUP(MAX('Proje girdileri'!AC17,ROUNDUP('Proje girdileri'!AD17/'Ayarlar'!$B$7,0))/(52/12),0)),6-6&lt;'Proje girdileri'!AH17),POWER(1-'Proje girdileri'!AT17,6-6),0)),IF(6&gt;IF('Ayarlar'!$B$7&lt;=0,99,ROUNDUP(MAX('Proje girdileri'!AC17,ROUNDUP('Proje girdileri'!AD17/'Ayarlar'!$B$7,0))/(52/12),0)),1,0))*('Proje girdileri'!Y17*(1-'Proje girdileri'!AA17-'Proje girdileri'!AB17)-'Proje girdileri'!Z17))-'Proje girdileri'!AJ17)</x:f>
        <x:v>593</x:v>
      </x:c>
      <x:c r="H17" s="24" t="n">
        <x:f>IF(7&gt;'Ayarlar'!$B$6,0,IF(MAX(0,'Ayarlar'!$B$6-IF('Ayarlar'!$B$7&lt;=0,99,ROUNDUP(MAX('Proje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girdileri'!AD17/'Ayarlar'!$B$7,0))/(52/12),0)),7-1&lt;'Proje girdileri'!AH17),POWER(1-'Proje girdileri'!AT17,7-1),0)+IF(AND(2&gt;IF('Ayarlar'!$B$7&lt;=0,99,ROUNDUP(MAX('Proje girdileri'!AC17,ROUNDUP('Proje girdileri'!AD17/'Ayarlar'!$B$7,0))/(52/12),0)),7-2&lt;'Proje girdileri'!AH17),POWER(1-'Proje girdileri'!AT17,7-2),0)+IF(AND(3&gt;IF('Ayarlar'!$B$7&lt;=0,99,ROUNDUP(MAX('Proje girdileri'!AC17,ROUNDUP('Proje girdileri'!AD17/'Ayarlar'!$B$7,0))/(52/12),0)),7-3&lt;'Proje girdileri'!AH17),POWER(1-'Proje girdileri'!AT17,7-3),0)+IF(AND(4&gt;IF('Ayarlar'!$B$7&lt;=0,99,ROUNDUP(MAX('Proje girdileri'!AC17,ROUNDUP('Proje girdileri'!AD17/'Ayarlar'!$B$7,0))/(52/12),0)),7-4&lt;'Proje girdileri'!AH17),POWER(1-'Proje girdileri'!AT17,7-4),0)+IF(AND(5&gt;IF('Ayarlar'!$B$7&lt;=0,99,ROUNDUP(MAX('Proje girdileri'!AC17,ROUNDUP('Proje girdileri'!AD17/'Ayarlar'!$B$7,0))/(52/12),0)),7-5&lt;'Proje girdileri'!AH17),POWER(1-'Proje girdileri'!AT17,7-5),0)+IF(AND(6&gt;IF('Ayarlar'!$B$7&lt;=0,99,ROUNDUP(MAX('Proje girdileri'!AC17,ROUNDUP('Proje girdileri'!AD17/'Ayarlar'!$B$7,0))/(52/12),0)),7-6&lt;'Proje girdileri'!AH17),POWER(1-'Proje girdileri'!AT17,7-6),0)+IF(AND(7&gt;IF('Ayarlar'!$B$7&lt;=0,99,ROUNDUP(MAX('Proje girdileri'!AC17,ROUNDUP('Proje girdileri'!AD17/'Ayarlar'!$B$7,0))/(52/12),0)),7-7&lt;'Proje girdileri'!AH17),POWER(1-'Proje girdileri'!AT17,7-7),0)),IF(7&gt;IF('Ayarlar'!$B$7&lt;=0,99,ROUNDUP(MAX('Proje girdileri'!AC17,ROUNDUP('Proje girdileri'!AD17/'Ayarlar'!$B$7,0))/(52/12),0)),1,0))*('Proje girdileri'!Y17*(1-'Proje girdileri'!AA17-'Proje girdileri'!AB17)-'Proje girdileri'!Z17))-'Proje girdileri'!AJ17)</x:f>
        <x:v>0</x:v>
      </x:c>
      <x:c r="I17" s="24" t="n">
        <x:f>IF(8&gt;'Ayarlar'!$B$6,0,IF(MAX(0,'Ayarlar'!$B$6-IF('Ayarlar'!$B$7&lt;=0,99,ROUNDUP(MAX('Proje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girdileri'!AD17/'Ayarlar'!$B$7,0))/(52/12),0)),8-1&lt;'Proje girdileri'!AH17),POWER(1-'Proje girdileri'!AT17,8-1),0)+IF(AND(2&gt;IF('Ayarlar'!$B$7&lt;=0,99,ROUNDUP(MAX('Proje girdileri'!AC17,ROUNDUP('Proje girdileri'!AD17/'Ayarlar'!$B$7,0))/(52/12),0)),8-2&lt;'Proje girdileri'!AH17),POWER(1-'Proje girdileri'!AT17,8-2),0)+IF(AND(3&gt;IF('Ayarlar'!$B$7&lt;=0,99,ROUNDUP(MAX('Proje girdileri'!AC17,ROUNDUP('Proje girdileri'!AD17/'Ayarlar'!$B$7,0))/(52/12),0)),8-3&lt;'Proje girdileri'!AH17),POWER(1-'Proje girdileri'!AT17,8-3),0)+IF(AND(4&gt;IF('Ayarlar'!$B$7&lt;=0,99,ROUNDUP(MAX('Proje girdileri'!AC17,ROUNDUP('Proje girdileri'!AD17/'Ayarlar'!$B$7,0))/(52/12),0)),8-4&lt;'Proje girdileri'!AH17),POWER(1-'Proje girdileri'!AT17,8-4),0)+IF(AND(5&gt;IF('Ayarlar'!$B$7&lt;=0,99,ROUNDUP(MAX('Proje girdileri'!AC17,ROUNDUP('Proje girdileri'!AD17/'Ayarlar'!$B$7,0))/(52/12),0)),8-5&lt;'Proje girdileri'!AH17),POWER(1-'Proje girdileri'!AT17,8-5),0)+IF(AND(6&gt;IF('Ayarlar'!$B$7&lt;=0,99,ROUNDUP(MAX('Proje girdileri'!AC17,ROUNDUP('Proje girdileri'!AD17/'Ayarlar'!$B$7,0))/(52/12),0)),8-6&lt;'Proje girdileri'!AH17),POWER(1-'Proje girdileri'!AT17,8-6),0)+IF(AND(7&gt;IF('Ayarlar'!$B$7&lt;=0,99,ROUNDUP(MAX('Proje girdileri'!AC17,ROUNDUP('Proje girdileri'!AD17/'Ayarlar'!$B$7,0))/(52/12),0)),8-7&lt;'Proje girdileri'!AH17),POWER(1-'Proje girdileri'!AT17,8-7),0)+IF(AND(8&gt;IF('Ayarlar'!$B$7&lt;=0,99,ROUNDUP(MAX('Proje girdileri'!AC17,ROUNDUP('Proje girdileri'!AD17/'Ayarlar'!$B$7,0))/(52/12),0)),8-8&lt;'Proje girdileri'!AH17),POWER(1-'Proje girdileri'!AT17,8-8),0)),IF(8&gt;IF('Ayarlar'!$B$7&lt;=0,99,ROUNDUP(MAX('Proje girdileri'!AC17,ROUNDUP('Proje girdileri'!AD17/'Ayarlar'!$B$7,0))/(52/12),0)),1,0))*('Proje girdileri'!Y17*(1-'Proje girdileri'!AA17-'Proje girdileri'!AB17)-'Proje girdileri'!Z17))-'Proje girdileri'!AJ17)</x:f>
        <x:v>0</x:v>
      </x:c>
      <x:c r="J17" s="24" t="n">
        <x:f>IF(9&gt;'Ayarlar'!$B$6,0,IF(MAX(0,'Ayarlar'!$B$6-IF('Ayarlar'!$B$7&lt;=0,99,ROUNDUP(MAX('Proje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girdileri'!AD17/'Ayarlar'!$B$7,0))/(52/12),0)),9-1&lt;'Proje girdileri'!AH17),POWER(1-'Proje girdileri'!AT17,9-1),0)+IF(AND(2&gt;IF('Ayarlar'!$B$7&lt;=0,99,ROUNDUP(MAX('Proje girdileri'!AC17,ROUNDUP('Proje girdileri'!AD17/'Ayarlar'!$B$7,0))/(52/12),0)),9-2&lt;'Proje girdileri'!AH17),POWER(1-'Proje girdileri'!AT17,9-2),0)+IF(AND(3&gt;IF('Ayarlar'!$B$7&lt;=0,99,ROUNDUP(MAX('Proje girdileri'!AC17,ROUNDUP('Proje girdileri'!AD17/'Ayarlar'!$B$7,0))/(52/12),0)),9-3&lt;'Proje girdileri'!AH17),POWER(1-'Proje girdileri'!AT17,9-3),0)+IF(AND(4&gt;IF('Ayarlar'!$B$7&lt;=0,99,ROUNDUP(MAX('Proje girdileri'!AC17,ROUNDUP('Proje girdileri'!AD17/'Ayarlar'!$B$7,0))/(52/12),0)),9-4&lt;'Proje girdileri'!AH17),POWER(1-'Proje girdileri'!AT17,9-4),0)+IF(AND(5&gt;IF('Ayarlar'!$B$7&lt;=0,99,ROUNDUP(MAX('Proje girdileri'!AC17,ROUNDUP('Proje girdileri'!AD17/'Ayarlar'!$B$7,0))/(52/12),0)),9-5&lt;'Proje girdileri'!AH17),POWER(1-'Proje girdileri'!AT17,9-5),0)+IF(AND(6&gt;IF('Ayarlar'!$B$7&lt;=0,99,ROUNDUP(MAX('Proje girdileri'!AC17,ROUNDUP('Proje girdileri'!AD17/'Ayarlar'!$B$7,0))/(52/12),0)),9-6&lt;'Proje girdileri'!AH17),POWER(1-'Proje girdileri'!AT17,9-6),0)+IF(AND(7&gt;IF('Ayarlar'!$B$7&lt;=0,99,ROUNDUP(MAX('Proje girdileri'!AC17,ROUNDUP('Proje girdileri'!AD17/'Ayarlar'!$B$7,0))/(52/12),0)),9-7&lt;'Proje girdileri'!AH17),POWER(1-'Proje girdileri'!AT17,9-7),0)+IF(AND(8&gt;IF('Ayarlar'!$B$7&lt;=0,99,ROUNDUP(MAX('Proje girdileri'!AC17,ROUNDUP('Proje girdileri'!AD17/'Ayarlar'!$B$7,0))/(52/12),0)),9-8&lt;'Proje girdileri'!AH17),POWER(1-'Proje girdileri'!AT17,9-8),0)+IF(AND(9&gt;IF('Ayarlar'!$B$7&lt;=0,99,ROUNDUP(MAX('Proje girdileri'!AC17,ROUNDUP('Proje girdileri'!AD17/'Ayarlar'!$B$7,0))/(52/12),0)),9-9&lt;'Proje girdileri'!AH17),POWER(1-'Proje girdileri'!AT17,9-9),0)),IF(9&gt;IF('Ayarlar'!$B$7&lt;=0,99,ROUNDUP(MAX('Proje girdileri'!AC17,ROUNDUP('Proje girdileri'!AD17/'Ayarlar'!$B$7,0))/(52/12),0)),1,0))*('Proje girdileri'!Y17*(1-'Proje girdileri'!AA17-'Proje girdileri'!AB17)-'Proje girdileri'!Z17))-'Proje girdileri'!AJ17)</x:f>
        <x:v>0</x:v>
      </x:c>
      <x:c r="K17" s="24" t="n">
        <x:f>IF(10&gt;'Ayarlar'!$B$6,0,IF(MAX(0,'Ayarlar'!$B$6-IF('Ayarlar'!$B$7&lt;=0,99,ROUNDUP(MAX('Proje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girdileri'!AD17/'Ayarlar'!$B$7,0))/(52/12),0)),10-1&lt;'Proje girdileri'!AH17),POWER(1-'Proje girdileri'!AT17,10-1),0)+IF(AND(2&gt;IF('Ayarlar'!$B$7&lt;=0,99,ROUNDUP(MAX('Proje girdileri'!AC17,ROUNDUP('Proje girdileri'!AD17/'Ayarlar'!$B$7,0))/(52/12),0)),10-2&lt;'Proje girdileri'!AH17),POWER(1-'Proje girdileri'!AT17,10-2),0)+IF(AND(3&gt;IF('Ayarlar'!$B$7&lt;=0,99,ROUNDUP(MAX('Proje girdileri'!AC17,ROUNDUP('Proje girdileri'!AD17/'Ayarlar'!$B$7,0))/(52/12),0)),10-3&lt;'Proje girdileri'!AH17),POWER(1-'Proje girdileri'!AT17,10-3),0)+IF(AND(4&gt;IF('Ayarlar'!$B$7&lt;=0,99,ROUNDUP(MAX('Proje girdileri'!AC17,ROUNDUP('Proje girdileri'!AD17/'Ayarlar'!$B$7,0))/(52/12),0)),10-4&lt;'Proje girdileri'!AH17),POWER(1-'Proje girdileri'!AT17,10-4),0)+IF(AND(5&gt;IF('Ayarlar'!$B$7&lt;=0,99,ROUNDUP(MAX('Proje girdileri'!AC17,ROUNDUP('Proje girdileri'!AD17/'Ayarlar'!$B$7,0))/(52/12),0)),10-5&lt;'Proje girdileri'!AH17),POWER(1-'Proje girdileri'!AT17,10-5),0)+IF(AND(6&gt;IF('Ayarlar'!$B$7&lt;=0,99,ROUNDUP(MAX('Proje girdileri'!AC17,ROUNDUP('Proje girdileri'!AD17/'Ayarlar'!$B$7,0))/(52/12),0)),10-6&lt;'Proje girdileri'!AH17),POWER(1-'Proje girdileri'!AT17,10-6),0)+IF(AND(7&gt;IF('Ayarlar'!$B$7&lt;=0,99,ROUNDUP(MAX('Proje girdileri'!AC17,ROUNDUP('Proje girdileri'!AD17/'Ayarlar'!$B$7,0))/(52/12),0)),10-7&lt;'Proje girdileri'!AH17),POWER(1-'Proje girdileri'!AT17,10-7),0)+IF(AND(8&gt;IF('Ayarlar'!$B$7&lt;=0,99,ROUNDUP(MAX('Proje girdileri'!AC17,ROUNDUP('Proje girdileri'!AD17/'Ayarlar'!$B$7,0))/(52/12),0)),10-8&lt;'Proje girdileri'!AH17),POWER(1-'Proje girdileri'!AT17,10-8),0)+IF(AND(9&gt;IF('Ayarlar'!$B$7&lt;=0,99,ROUNDUP(MAX('Proje girdileri'!AC17,ROUNDUP('Proje girdileri'!AD17/'Ayarlar'!$B$7,0))/(52/12),0)),10-9&lt;'Proje girdileri'!AH17),POWER(1-'Proje girdileri'!AT17,10-9),0)+IF(AND(10&gt;IF('Ayarlar'!$B$7&lt;=0,99,ROUNDUP(MAX('Proje girdileri'!AC17,ROUNDUP('Proje girdileri'!AD17/'Ayarlar'!$B$7,0))/(52/12),0)),10-10&lt;'Proje girdileri'!AH17),POWER(1-'Proje girdileri'!AT17,10-10),0)),IF(10&gt;IF('Ayarlar'!$B$7&lt;=0,99,ROUNDUP(MAX('Proje girdileri'!AC17,ROUNDUP('Proje girdileri'!AD17/'Ayarlar'!$B$7,0))/(52/12),0)),1,0))*('Proje girdileri'!Y17*(1-'Proje girdileri'!AA17-'Proje girdileri'!AB17)-'Proje girdileri'!Z17))-'Proje girdileri'!AJ17)</x:f>
        <x:v>0</x:v>
      </x:c>
      <x:c r="L17" s="24" t="n">
        <x:f>IF(11&gt;'Ayarlar'!$B$6,0,IF(MAX(0,'Ayarlar'!$B$6-IF('Ayarlar'!$B$7&lt;=0,99,ROUNDUP(MAX('Proje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girdileri'!AD17/'Ayarlar'!$B$7,0))/(52/12),0)),11-1&lt;'Proje girdileri'!AH17),POWER(1-'Proje girdileri'!AT17,11-1),0)+IF(AND(2&gt;IF('Ayarlar'!$B$7&lt;=0,99,ROUNDUP(MAX('Proje girdileri'!AC17,ROUNDUP('Proje girdileri'!AD17/'Ayarlar'!$B$7,0))/(52/12),0)),11-2&lt;'Proje girdileri'!AH17),POWER(1-'Proje girdileri'!AT17,11-2),0)+IF(AND(3&gt;IF('Ayarlar'!$B$7&lt;=0,99,ROUNDUP(MAX('Proje girdileri'!AC17,ROUNDUP('Proje girdileri'!AD17/'Ayarlar'!$B$7,0))/(52/12),0)),11-3&lt;'Proje girdileri'!AH17),POWER(1-'Proje girdileri'!AT17,11-3),0)+IF(AND(4&gt;IF('Ayarlar'!$B$7&lt;=0,99,ROUNDUP(MAX('Proje girdileri'!AC17,ROUNDUP('Proje girdileri'!AD17/'Ayarlar'!$B$7,0))/(52/12),0)),11-4&lt;'Proje girdileri'!AH17),POWER(1-'Proje girdileri'!AT17,11-4),0)+IF(AND(5&gt;IF('Ayarlar'!$B$7&lt;=0,99,ROUNDUP(MAX('Proje girdileri'!AC17,ROUNDUP('Proje girdileri'!AD17/'Ayarlar'!$B$7,0))/(52/12),0)),11-5&lt;'Proje girdileri'!AH17),POWER(1-'Proje girdileri'!AT17,11-5),0)+IF(AND(6&gt;IF('Ayarlar'!$B$7&lt;=0,99,ROUNDUP(MAX('Proje girdileri'!AC17,ROUNDUP('Proje girdileri'!AD17/'Ayarlar'!$B$7,0))/(52/12),0)),11-6&lt;'Proje girdileri'!AH17),POWER(1-'Proje girdileri'!AT17,11-6),0)+IF(AND(7&gt;IF('Ayarlar'!$B$7&lt;=0,99,ROUNDUP(MAX('Proje girdileri'!AC17,ROUNDUP('Proje girdileri'!AD17/'Ayarlar'!$B$7,0))/(52/12),0)),11-7&lt;'Proje girdileri'!AH17),POWER(1-'Proje girdileri'!AT17,11-7),0)+IF(AND(8&gt;IF('Ayarlar'!$B$7&lt;=0,99,ROUNDUP(MAX('Proje girdileri'!AC17,ROUNDUP('Proje girdileri'!AD17/'Ayarlar'!$B$7,0))/(52/12),0)),11-8&lt;'Proje girdileri'!AH17),POWER(1-'Proje girdileri'!AT17,11-8),0)+IF(AND(9&gt;IF('Ayarlar'!$B$7&lt;=0,99,ROUNDUP(MAX('Proje girdileri'!AC17,ROUNDUP('Proje girdileri'!AD17/'Ayarlar'!$B$7,0))/(52/12),0)),11-9&lt;'Proje girdileri'!AH17),POWER(1-'Proje girdileri'!AT17,11-9),0)+IF(AND(10&gt;IF('Ayarlar'!$B$7&lt;=0,99,ROUNDUP(MAX('Proje girdileri'!AC17,ROUNDUP('Proje girdileri'!AD17/'Ayarlar'!$B$7,0))/(52/12),0)),11-10&lt;'Proje girdileri'!AH17),POWER(1-'Proje girdileri'!AT17,11-10),0)+IF(AND(11&gt;IF('Ayarlar'!$B$7&lt;=0,99,ROUNDUP(MAX('Proje girdileri'!AC17,ROUNDUP('Proje girdileri'!AD17/'Ayarlar'!$B$7,0))/(52/12),0)),11-11&lt;'Proje girdileri'!AH17),POWER(1-'Proje girdileri'!AT17,11-11),0)),IF(11&gt;IF('Ayarlar'!$B$7&lt;=0,99,ROUNDUP(MAX('Proje girdileri'!AC17,ROUNDUP('Proje girdileri'!AD17/'Ayarlar'!$B$7,0))/(52/12),0)),1,0))*('Proje girdileri'!Y17*(1-'Proje girdileri'!AA17-'Proje girdileri'!AB17)-'Proje girdileri'!Z17))-'Proje girdileri'!AJ17)</x:f>
        <x:v>0</x:v>
      </x:c>
      <x:c r="M17" s="24" t="n">
        <x:f>IF(12&gt;'Ayarlar'!$B$6,0,IF(MAX(0,'Ayarlar'!$B$6-IF('Ayarlar'!$B$7&lt;=0,99,ROUNDUP(MAX('Proje girdileri'!AC17,ROUNDUP('Proje girdileri'!AD17/'Ayarlar'!$B$7,0))/(52/12),0)))=0,0,'Hesap'!I17/MAX(0,'Ayarlar'!$B$6-IF('Ayarlar'!$B$7&lt;=0,99,ROUNDUP(MAX('Proje girdileri'!AC17,ROUNDUP('Proje girdileri'!AD17/'Ayarlar'!$B$7,0))/(52/12),0)))*IF('Proje girdileri'!C17="recurring",(IF(AND(1&gt;IF('Ayarlar'!$B$7&lt;=0,99,ROUNDUP(MAX('Proje girdileri'!AC17,ROUNDUP('Proje girdileri'!AD17/'Ayarlar'!$B$7,0))/(52/12),0)),12-1&lt;'Proje girdileri'!AH17),POWER(1-'Proje girdileri'!AT17,12-1),0)+IF(AND(2&gt;IF('Ayarlar'!$B$7&lt;=0,99,ROUNDUP(MAX('Proje girdileri'!AC17,ROUNDUP('Proje girdileri'!AD17/'Ayarlar'!$B$7,0))/(52/12),0)),12-2&lt;'Proje girdileri'!AH17),POWER(1-'Proje girdileri'!AT17,12-2),0)+IF(AND(3&gt;IF('Ayarlar'!$B$7&lt;=0,99,ROUNDUP(MAX('Proje girdileri'!AC17,ROUNDUP('Proje girdileri'!AD17/'Ayarlar'!$B$7,0))/(52/12),0)),12-3&lt;'Proje girdileri'!AH17),POWER(1-'Proje girdileri'!AT17,12-3),0)+IF(AND(4&gt;IF('Ayarlar'!$B$7&lt;=0,99,ROUNDUP(MAX('Proje girdileri'!AC17,ROUNDUP('Proje girdileri'!AD17/'Ayarlar'!$B$7,0))/(52/12),0)),12-4&lt;'Proje girdileri'!AH17),POWER(1-'Proje girdileri'!AT17,12-4),0)+IF(AND(5&gt;IF('Ayarlar'!$B$7&lt;=0,99,ROUNDUP(MAX('Proje girdileri'!AC17,ROUNDUP('Proje girdileri'!AD17/'Ayarlar'!$B$7,0))/(52/12),0)),12-5&lt;'Proje girdileri'!AH17),POWER(1-'Proje girdileri'!AT17,12-5),0)+IF(AND(6&gt;IF('Ayarlar'!$B$7&lt;=0,99,ROUNDUP(MAX('Proje girdileri'!AC17,ROUNDUP('Proje girdileri'!AD17/'Ayarlar'!$B$7,0))/(52/12),0)),12-6&lt;'Proje girdileri'!AH17),POWER(1-'Proje girdileri'!AT17,12-6),0)+IF(AND(7&gt;IF('Ayarlar'!$B$7&lt;=0,99,ROUNDUP(MAX('Proje girdileri'!AC17,ROUNDUP('Proje girdileri'!AD17/'Ayarlar'!$B$7,0))/(52/12),0)),12-7&lt;'Proje girdileri'!AH17),POWER(1-'Proje girdileri'!AT17,12-7),0)+IF(AND(8&gt;IF('Ayarlar'!$B$7&lt;=0,99,ROUNDUP(MAX('Proje girdileri'!AC17,ROUNDUP('Proje girdileri'!AD17/'Ayarlar'!$B$7,0))/(52/12),0)),12-8&lt;'Proje girdileri'!AH17),POWER(1-'Proje girdileri'!AT17,12-8),0)+IF(AND(9&gt;IF('Ayarlar'!$B$7&lt;=0,99,ROUNDUP(MAX('Proje girdileri'!AC17,ROUNDUP('Proje girdileri'!AD17/'Ayarlar'!$B$7,0))/(52/12),0)),12-9&lt;'Proje girdileri'!AH17),POWER(1-'Proje girdileri'!AT17,12-9),0)+IF(AND(10&gt;IF('Ayarlar'!$B$7&lt;=0,99,ROUNDUP(MAX('Proje girdileri'!AC17,ROUNDUP('Proje girdileri'!AD17/'Ayarlar'!$B$7,0))/(52/12),0)),12-10&lt;'Proje girdileri'!AH17),POWER(1-'Proje girdileri'!AT17,12-10),0)+IF(AND(11&gt;IF('Ayarlar'!$B$7&lt;=0,99,ROUNDUP(MAX('Proje girdileri'!AC17,ROUNDUP('Proje girdileri'!AD17/'Ayarlar'!$B$7,0))/(52/12),0)),12-11&lt;'Proje girdileri'!AH17),POWER(1-'Proje girdileri'!AT17,12-11),0)+IF(AND(12&gt;IF('Ayarlar'!$B$7&lt;=0,99,ROUNDUP(MAX('Proje girdileri'!AC17,ROUNDUP('Proje girdileri'!AD17/'Ayarlar'!$B$7,0))/(52/12),0)),12-12&lt;'Proje girdileri'!AH17),POWER(1-'Proje girdileri'!AT17,12-12),0)),IF(12&gt;IF('Ayarlar'!$B$7&lt;=0,99,ROUNDUP(MAX('Proje girdileri'!AC17,ROUNDUP('Proje girdileri'!AD17/'Ayarlar'!$B$7,0))/(52/12),0)),1,0))*('Proje girdileri'!Y17*(1-'Proje girdileri'!AA17-'Proje girdileri'!AB17)-'Proje girdileri'!Z17))-'Proje girdileri'!AJ17)</x:f>
        <x:v>0</x:v>
      </x:c>
      <x:c r="N17" s="24" t="n">
        <x:f>SUM(B17:M17)</x:f>
        <x:v>2192</x:v>
      </x:c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</x:row>
    <x:row r="18" ht="24" customHeight="1">
      <x:c r="A18" s="2" t="str">
        <x:f>'Hesap'!B18</x:f>
        <x:v>Zincir operasyon hizmeti</x:v>
      </x:c>
      <x:c r="B18" s="24" t="n">
        <x:f>IF(1&gt;'Ayarlar'!$B$6,0,IF(MAX(0,'Ayarlar'!$B$6-IF('Ayarlar'!$B$7&lt;=0,99,ROUNDUP(MAX('Proje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girdileri'!AD18/'Ayarlar'!$B$7,0))/(52/12),0)),1-1&lt;'Proje girdileri'!AH18),POWER(1-'Proje girdileri'!AT18,1-1),0)),IF(1&gt;IF('Ayarlar'!$B$7&lt;=0,99,ROUNDUP(MAX('Proje girdileri'!AC18,ROUNDUP('Proje girdileri'!AD18/'Ayarlar'!$B$7,0))/(52/12),0)),1,0))*('Proje girdileri'!Y18*(1-'Proje girdileri'!AA18-'Proje girdileri'!AB18)-'Proje girdileri'!Z18))-'Proje girdileri'!AJ18-'Proje girdileri'!AI18)</x:f>
        <x:v>-165</x:v>
      </x:c>
      <x:c r="C18" s="24" t="n">
        <x:f>IF(2&gt;'Ayarlar'!$B$6,0,IF(MAX(0,'Ayarlar'!$B$6-IF('Ayarlar'!$B$7&lt;=0,99,ROUNDUP(MAX('Proje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girdileri'!AD18/'Ayarlar'!$B$7,0))/(52/12),0)),2-1&lt;'Proje girdileri'!AH18),POWER(1-'Proje girdileri'!AT18,2-1),0)+IF(AND(2&gt;IF('Ayarlar'!$B$7&lt;=0,99,ROUNDUP(MAX('Proje girdileri'!AC18,ROUNDUP('Proje girdileri'!AD18/'Ayarlar'!$B$7,0))/(52/12),0)),2-2&lt;'Proje girdileri'!AH18),POWER(1-'Proje girdileri'!AT18,2-2),0)),IF(2&gt;IF('Ayarlar'!$B$7&lt;=0,99,ROUNDUP(MAX('Proje girdileri'!AC18,ROUNDUP('Proje girdileri'!AD18/'Ayarlar'!$B$7,0))/(52/12),0)),1,0))*('Proje girdileri'!Y18*(1-'Proje girdileri'!AA18-'Proje girdileri'!AB18)-'Proje girdileri'!Z18))-'Proje girdileri'!AJ18)</x:f>
        <x:v>435</x:v>
      </x:c>
      <x:c r="D18" s="24" t="n">
        <x:f>IF(3&gt;'Ayarlar'!$B$6,0,IF(MAX(0,'Ayarlar'!$B$6-IF('Ayarlar'!$B$7&lt;=0,99,ROUNDUP(MAX('Proje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girdileri'!AD18/'Ayarlar'!$B$7,0))/(52/12),0)),3-1&lt;'Proje girdileri'!AH18),POWER(1-'Proje girdileri'!AT18,3-1),0)+IF(AND(2&gt;IF('Ayarlar'!$B$7&lt;=0,99,ROUNDUP(MAX('Proje girdileri'!AC18,ROUNDUP('Proje girdileri'!AD18/'Ayarlar'!$B$7,0))/(52/12),0)),3-2&lt;'Proje girdileri'!AH18),POWER(1-'Proje girdileri'!AT18,3-2),0)+IF(AND(3&gt;IF('Ayarlar'!$B$7&lt;=0,99,ROUNDUP(MAX('Proje girdileri'!AC18,ROUNDUP('Proje girdileri'!AD18/'Ayarlar'!$B$7,0))/(52/12),0)),3-3&lt;'Proje girdileri'!AH18),POWER(1-'Proje girdileri'!AT18,3-3),0)),IF(3&gt;IF('Ayarlar'!$B$7&lt;=0,99,ROUNDUP(MAX('Proje girdileri'!AC18,ROUNDUP('Proje girdileri'!AD18/'Ayarlar'!$B$7,0))/(52/12),0)),1,0))*('Proje girdileri'!Y18*(1-'Proje girdileri'!AA18-'Proje girdileri'!AB18)-'Proje girdileri'!Z18))-'Proje girdileri'!AJ18)</x:f>
        <x:v>435</x:v>
      </x:c>
      <x:c r="E18" s="24" t="n">
        <x:f>IF(4&gt;'Ayarlar'!$B$6,0,IF(MAX(0,'Ayarlar'!$B$6-IF('Ayarlar'!$B$7&lt;=0,99,ROUNDUP(MAX('Proje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girdileri'!AD18/'Ayarlar'!$B$7,0))/(52/12),0)),4-1&lt;'Proje girdileri'!AH18),POWER(1-'Proje girdileri'!AT18,4-1),0)+IF(AND(2&gt;IF('Ayarlar'!$B$7&lt;=0,99,ROUNDUP(MAX('Proje girdileri'!AC18,ROUNDUP('Proje girdileri'!AD18/'Ayarlar'!$B$7,0))/(52/12),0)),4-2&lt;'Proje girdileri'!AH18),POWER(1-'Proje girdileri'!AT18,4-2),0)+IF(AND(3&gt;IF('Ayarlar'!$B$7&lt;=0,99,ROUNDUP(MAX('Proje girdileri'!AC18,ROUNDUP('Proje girdileri'!AD18/'Ayarlar'!$B$7,0))/(52/12),0)),4-3&lt;'Proje girdileri'!AH18),POWER(1-'Proje girdileri'!AT18,4-3),0)+IF(AND(4&gt;IF('Ayarlar'!$B$7&lt;=0,99,ROUNDUP(MAX('Proje girdileri'!AC18,ROUNDUP('Proje girdileri'!AD18/'Ayarlar'!$B$7,0))/(52/12),0)),4-4&lt;'Proje girdileri'!AH18),POWER(1-'Proje girdileri'!AT18,4-4),0)),IF(4&gt;IF('Ayarlar'!$B$7&lt;=0,99,ROUNDUP(MAX('Proje girdileri'!AC18,ROUNDUP('Proje girdileri'!AD18/'Ayarlar'!$B$7,0))/(52/12),0)),1,0))*('Proje girdileri'!Y18*(1-'Proje girdileri'!AA18-'Proje girdileri'!AB18)-'Proje girdileri'!Z18))-'Proje girdileri'!AJ18)</x:f>
        <x:v>435</x:v>
      </x:c>
      <x:c r="F18" s="24" t="n">
        <x:f>IF(5&gt;'Ayarlar'!$B$6,0,IF(MAX(0,'Ayarlar'!$B$6-IF('Ayarlar'!$B$7&lt;=0,99,ROUNDUP(MAX('Proje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girdileri'!AD18/'Ayarlar'!$B$7,0))/(52/12),0)),5-1&lt;'Proje girdileri'!AH18),POWER(1-'Proje girdileri'!AT18,5-1),0)+IF(AND(2&gt;IF('Ayarlar'!$B$7&lt;=0,99,ROUNDUP(MAX('Proje girdileri'!AC18,ROUNDUP('Proje girdileri'!AD18/'Ayarlar'!$B$7,0))/(52/12),0)),5-2&lt;'Proje girdileri'!AH18),POWER(1-'Proje girdileri'!AT18,5-2),0)+IF(AND(3&gt;IF('Ayarlar'!$B$7&lt;=0,99,ROUNDUP(MAX('Proje girdileri'!AC18,ROUNDUP('Proje girdileri'!AD18/'Ayarlar'!$B$7,0))/(52/12),0)),5-3&lt;'Proje girdileri'!AH18),POWER(1-'Proje girdileri'!AT18,5-3),0)+IF(AND(4&gt;IF('Ayarlar'!$B$7&lt;=0,99,ROUNDUP(MAX('Proje girdileri'!AC18,ROUNDUP('Proje girdileri'!AD18/'Ayarlar'!$B$7,0))/(52/12),0)),5-4&lt;'Proje girdileri'!AH18),POWER(1-'Proje girdileri'!AT18,5-4),0)+IF(AND(5&gt;IF('Ayarlar'!$B$7&lt;=0,99,ROUNDUP(MAX('Proje girdileri'!AC18,ROUNDUP('Proje girdileri'!AD18/'Ayarlar'!$B$7,0))/(52/12),0)),5-5&lt;'Proje girdileri'!AH18),POWER(1-'Proje girdileri'!AT18,5-5),0)),IF(5&gt;IF('Ayarlar'!$B$7&lt;=0,99,ROUNDUP(MAX('Proje girdileri'!AC18,ROUNDUP('Proje girdileri'!AD18/'Ayarlar'!$B$7,0))/(52/12),0)),1,0))*('Proje girdileri'!Y18*(1-'Proje girdileri'!AA18-'Proje girdileri'!AB18)-'Proje girdileri'!Z18))-'Proje girdileri'!AJ18)</x:f>
        <x:v>435</x:v>
      </x:c>
      <x:c r="G18" s="24" t="n">
        <x:f>IF(6&gt;'Ayarlar'!$B$6,0,IF(MAX(0,'Ayarlar'!$B$6-IF('Ayarlar'!$B$7&lt;=0,99,ROUNDUP(MAX('Proje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girdileri'!AD18/'Ayarlar'!$B$7,0))/(52/12),0)),6-1&lt;'Proje girdileri'!AH18),POWER(1-'Proje girdileri'!AT18,6-1),0)+IF(AND(2&gt;IF('Ayarlar'!$B$7&lt;=0,99,ROUNDUP(MAX('Proje girdileri'!AC18,ROUNDUP('Proje girdileri'!AD18/'Ayarlar'!$B$7,0))/(52/12),0)),6-2&lt;'Proje girdileri'!AH18),POWER(1-'Proje girdileri'!AT18,6-2),0)+IF(AND(3&gt;IF('Ayarlar'!$B$7&lt;=0,99,ROUNDUP(MAX('Proje girdileri'!AC18,ROUNDUP('Proje girdileri'!AD18/'Ayarlar'!$B$7,0))/(52/12),0)),6-3&lt;'Proje girdileri'!AH18),POWER(1-'Proje girdileri'!AT18,6-3),0)+IF(AND(4&gt;IF('Ayarlar'!$B$7&lt;=0,99,ROUNDUP(MAX('Proje girdileri'!AC18,ROUNDUP('Proje girdileri'!AD18/'Ayarlar'!$B$7,0))/(52/12),0)),6-4&lt;'Proje girdileri'!AH18),POWER(1-'Proje girdileri'!AT18,6-4),0)+IF(AND(5&gt;IF('Ayarlar'!$B$7&lt;=0,99,ROUNDUP(MAX('Proje girdileri'!AC18,ROUNDUP('Proje girdileri'!AD18/'Ayarlar'!$B$7,0))/(52/12),0)),6-5&lt;'Proje girdileri'!AH18),POWER(1-'Proje girdileri'!AT18,6-5),0)+IF(AND(6&gt;IF('Ayarlar'!$B$7&lt;=0,99,ROUNDUP(MAX('Proje girdileri'!AC18,ROUNDUP('Proje girdileri'!AD18/'Ayarlar'!$B$7,0))/(52/12),0)),6-6&lt;'Proje girdileri'!AH18),POWER(1-'Proje girdileri'!AT18,6-6),0)),IF(6&gt;IF('Ayarlar'!$B$7&lt;=0,99,ROUNDUP(MAX('Proje girdileri'!AC18,ROUNDUP('Proje girdileri'!AD18/'Ayarlar'!$B$7,0))/(52/12),0)),1,0))*('Proje girdileri'!Y18*(1-'Proje girdileri'!AA18-'Proje girdileri'!AB18)-'Proje girdileri'!Z18))-'Proje girdileri'!AJ18)</x:f>
        <x:v>435</x:v>
      </x:c>
      <x:c r="H18" s="24" t="n">
        <x:f>IF(7&gt;'Ayarlar'!$B$6,0,IF(MAX(0,'Ayarlar'!$B$6-IF('Ayarlar'!$B$7&lt;=0,99,ROUNDUP(MAX('Proje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girdileri'!AD18/'Ayarlar'!$B$7,0))/(52/12),0)),7-1&lt;'Proje girdileri'!AH18),POWER(1-'Proje girdileri'!AT18,7-1),0)+IF(AND(2&gt;IF('Ayarlar'!$B$7&lt;=0,99,ROUNDUP(MAX('Proje girdileri'!AC18,ROUNDUP('Proje girdileri'!AD18/'Ayarlar'!$B$7,0))/(52/12),0)),7-2&lt;'Proje girdileri'!AH18),POWER(1-'Proje girdileri'!AT18,7-2),0)+IF(AND(3&gt;IF('Ayarlar'!$B$7&lt;=0,99,ROUNDUP(MAX('Proje girdileri'!AC18,ROUNDUP('Proje girdileri'!AD18/'Ayarlar'!$B$7,0))/(52/12),0)),7-3&lt;'Proje girdileri'!AH18),POWER(1-'Proje girdileri'!AT18,7-3),0)+IF(AND(4&gt;IF('Ayarlar'!$B$7&lt;=0,99,ROUNDUP(MAX('Proje girdileri'!AC18,ROUNDUP('Proje girdileri'!AD18/'Ayarlar'!$B$7,0))/(52/12),0)),7-4&lt;'Proje girdileri'!AH18),POWER(1-'Proje girdileri'!AT18,7-4),0)+IF(AND(5&gt;IF('Ayarlar'!$B$7&lt;=0,99,ROUNDUP(MAX('Proje girdileri'!AC18,ROUNDUP('Proje girdileri'!AD18/'Ayarlar'!$B$7,0))/(52/12),0)),7-5&lt;'Proje girdileri'!AH18),POWER(1-'Proje girdileri'!AT18,7-5),0)+IF(AND(6&gt;IF('Ayarlar'!$B$7&lt;=0,99,ROUNDUP(MAX('Proje girdileri'!AC18,ROUNDUP('Proje girdileri'!AD18/'Ayarlar'!$B$7,0))/(52/12),0)),7-6&lt;'Proje girdileri'!AH18),POWER(1-'Proje girdileri'!AT18,7-6),0)+IF(AND(7&gt;IF('Ayarlar'!$B$7&lt;=0,99,ROUNDUP(MAX('Proje girdileri'!AC18,ROUNDUP('Proje girdileri'!AD18/'Ayarlar'!$B$7,0))/(52/12),0)),7-7&lt;'Proje girdileri'!AH18),POWER(1-'Proje girdileri'!AT18,7-7),0)),IF(7&gt;IF('Ayarlar'!$B$7&lt;=0,99,ROUNDUP(MAX('Proje girdileri'!AC18,ROUNDUP('Proje girdileri'!AD18/'Ayarlar'!$B$7,0))/(52/12),0)),1,0))*('Proje girdileri'!Y18*(1-'Proje girdileri'!AA18-'Proje girdileri'!AB18)-'Proje girdileri'!Z18))-'Proje girdileri'!AJ18)</x:f>
        <x:v>0</x:v>
      </x:c>
      <x:c r="I18" s="24" t="n">
        <x:f>IF(8&gt;'Ayarlar'!$B$6,0,IF(MAX(0,'Ayarlar'!$B$6-IF('Ayarlar'!$B$7&lt;=0,99,ROUNDUP(MAX('Proje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girdileri'!AD18/'Ayarlar'!$B$7,0))/(52/12),0)),8-1&lt;'Proje girdileri'!AH18),POWER(1-'Proje girdileri'!AT18,8-1),0)+IF(AND(2&gt;IF('Ayarlar'!$B$7&lt;=0,99,ROUNDUP(MAX('Proje girdileri'!AC18,ROUNDUP('Proje girdileri'!AD18/'Ayarlar'!$B$7,0))/(52/12),0)),8-2&lt;'Proje girdileri'!AH18),POWER(1-'Proje girdileri'!AT18,8-2),0)+IF(AND(3&gt;IF('Ayarlar'!$B$7&lt;=0,99,ROUNDUP(MAX('Proje girdileri'!AC18,ROUNDUP('Proje girdileri'!AD18/'Ayarlar'!$B$7,0))/(52/12),0)),8-3&lt;'Proje girdileri'!AH18),POWER(1-'Proje girdileri'!AT18,8-3),0)+IF(AND(4&gt;IF('Ayarlar'!$B$7&lt;=0,99,ROUNDUP(MAX('Proje girdileri'!AC18,ROUNDUP('Proje girdileri'!AD18/'Ayarlar'!$B$7,0))/(52/12),0)),8-4&lt;'Proje girdileri'!AH18),POWER(1-'Proje girdileri'!AT18,8-4),0)+IF(AND(5&gt;IF('Ayarlar'!$B$7&lt;=0,99,ROUNDUP(MAX('Proje girdileri'!AC18,ROUNDUP('Proje girdileri'!AD18/'Ayarlar'!$B$7,0))/(52/12),0)),8-5&lt;'Proje girdileri'!AH18),POWER(1-'Proje girdileri'!AT18,8-5),0)+IF(AND(6&gt;IF('Ayarlar'!$B$7&lt;=0,99,ROUNDUP(MAX('Proje girdileri'!AC18,ROUNDUP('Proje girdileri'!AD18/'Ayarlar'!$B$7,0))/(52/12),0)),8-6&lt;'Proje girdileri'!AH18),POWER(1-'Proje girdileri'!AT18,8-6),0)+IF(AND(7&gt;IF('Ayarlar'!$B$7&lt;=0,99,ROUNDUP(MAX('Proje girdileri'!AC18,ROUNDUP('Proje girdileri'!AD18/'Ayarlar'!$B$7,0))/(52/12),0)),8-7&lt;'Proje girdileri'!AH18),POWER(1-'Proje girdileri'!AT18,8-7),0)+IF(AND(8&gt;IF('Ayarlar'!$B$7&lt;=0,99,ROUNDUP(MAX('Proje girdileri'!AC18,ROUNDUP('Proje girdileri'!AD18/'Ayarlar'!$B$7,0))/(52/12),0)),8-8&lt;'Proje girdileri'!AH18),POWER(1-'Proje girdileri'!AT18,8-8),0)),IF(8&gt;IF('Ayarlar'!$B$7&lt;=0,99,ROUNDUP(MAX('Proje girdileri'!AC18,ROUNDUP('Proje girdileri'!AD18/'Ayarlar'!$B$7,0))/(52/12),0)),1,0))*('Proje girdileri'!Y18*(1-'Proje girdileri'!AA18-'Proje girdileri'!AB18)-'Proje girdileri'!Z18))-'Proje girdileri'!AJ18)</x:f>
        <x:v>0</x:v>
      </x:c>
      <x:c r="J18" s="24" t="n">
        <x:f>IF(9&gt;'Ayarlar'!$B$6,0,IF(MAX(0,'Ayarlar'!$B$6-IF('Ayarlar'!$B$7&lt;=0,99,ROUNDUP(MAX('Proje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girdileri'!AD18/'Ayarlar'!$B$7,0))/(52/12),0)),9-1&lt;'Proje girdileri'!AH18),POWER(1-'Proje girdileri'!AT18,9-1),0)+IF(AND(2&gt;IF('Ayarlar'!$B$7&lt;=0,99,ROUNDUP(MAX('Proje girdileri'!AC18,ROUNDUP('Proje girdileri'!AD18/'Ayarlar'!$B$7,0))/(52/12),0)),9-2&lt;'Proje girdileri'!AH18),POWER(1-'Proje girdileri'!AT18,9-2),0)+IF(AND(3&gt;IF('Ayarlar'!$B$7&lt;=0,99,ROUNDUP(MAX('Proje girdileri'!AC18,ROUNDUP('Proje girdileri'!AD18/'Ayarlar'!$B$7,0))/(52/12),0)),9-3&lt;'Proje girdileri'!AH18),POWER(1-'Proje girdileri'!AT18,9-3),0)+IF(AND(4&gt;IF('Ayarlar'!$B$7&lt;=0,99,ROUNDUP(MAX('Proje girdileri'!AC18,ROUNDUP('Proje girdileri'!AD18/'Ayarlar'!$B$7,0))/(52/12),0)),9-4&lt;'Proje girdileri'!AH18),POWER(1-'Proje girdileri'!AT18,9-4),0)+IF(AND(5&gt;IF('Ayarlar'!$B$7&lt;=0,99,ROUNDUP(MAX('Proje girdileri'!AC18,ROUNDUP('Proje girdileri'!AD18/'Ayarlar'!$B$7,0))/(52/12),0)),9-5&lt;'Proje girdileri'!AH18),POWER(1-'Proje girdileri'!AT18,9-5),0)+IF(AND(6&gt;IF('Ayarlar'!$B$7&lt;=0,99,ROUNDUP(MAX('Proje girdileri'!AC18,ROUNDUP('Proje girdileri'!AD18/'Ayarlar'!$B$7,0))/(52/12),0)),9-6&lt;'Proje girdileri'!AH18),POWER(1-'Proje girdileri'!AT18,9-6),0)+IF(AND(7&gt;IF('Ayarlar'!$B$7&lt;=0,99,ROUNDUP(MAX('Proje girdileri'!AC18,ROUNDUP('Proje girdileri'!AD18/'Ayarlar'!$B$7,0))/(52/12),0)),9-7&lt;'Proje girdileri'!AH18),POWER(1-'Proje girdileri'!AT18,9-7),0)+IF(AND(8&gt;IF('Ayarlar'!$B$7&lt;=0,99,ROUNDUP(MAX('Proje girdileri'!AC18,ROUNDUP('Proje girdileri'!AD18/'Ayarlar'!$B$7,0))/(52/12),0)),9-8&lt;'Proje girdileri'!AH18),POWER(1-'Proje girdileri'!AT18,9-8),0)+IF(AND(9&gt;IF('Ayarlar'!$B$7&lt;=0,99,ROUNDUP(MAX('Proje girdileri'!AC18,ROUNDUP('Proje girdileri'!AD18/'Ayarlar'!$B$7,0))/(52/12),0)),9-9&lt;'Proje girdileri'!AH18),POWER(1-'Proje girdileri'!AT18,9-9),0)),IF(9&gt;IF('Ayarlar'!$B$7&lt;=0,99,ROUNDUP(MAX('Proje girdileri'!AC18,ROUNDUP('Proje girdileri'!AD18/'Ayarlar'!$B$7,0))/(52/12),0)),1,0))*('Proje girdileri'!Y18*(1-'Proje girdileri'!AA18-'Proje girdileri'!AB18)-'Proje girdileri'!Z18))-'Proje girdileri'!AJ18)</x:f>
        <x:v>0</x:v>
      </x:c>
      <x:c r="K18" s="24" t="n">
        <x:f>IF(10&gt;'Ayarlar'!$B$6,0,IF(MAX(0,'Ayarlar'!$B$6-IF('Ayarlar'!$B$7&lt;=0,99,ROUNDUP(MAX('Proje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girdileri'!AD18/'Ayarlar'!$B$7,0))/(52/12),0)),10-1&lt;'Proje girdileri'!AH18),POWER(1-'Proje girdileri'!AT18,10-1),0)+IF(AND(2&gt;IF('Ayarlar'!$B$7&lt;=0,99,ROUNDUP(MAX('Proje girdileri'!AC18,ROUNDUP('Proje girdileri'!AD18/'Ayarlar'!$B$7,0))/(52/12),0)),10-2&lt;'Proje girdileri'!AH18),POWER(1-'Proje girdileri'!AT18,10-2),0)+IF(AND(3&gt;IF('Ayarlar'!$B$7&lt;=0,99,ROUNDUP(MAX('Proje girdileri'!AC18,ROUNDUP('Proje girdileri'!AD18/'Ayarlar'!$B$7,0))/(52/12),0)),10-3&lt;'Proje girdileri'!AH18),POWER(1-'Proje girdileri'!AT18,10-3),0)+IF(AND(4&gt;IF('Ayarlar'!$B$7&lt;=0,99,ROUNDUP(MAX('Proje girdileri'!AC18,ROUNDUP('Proje girdileri'!AD18/'Ayarlar'!$B$7,0))/(52/12),0)),10-4&lt;'Proje girdileri'!AH18),POWER(1-'Proje girdileri'!AT18,10-4),0)+IF(AND(5&gt;IF('Ayarlar'!$B$7&lt;=0,99,ROUNDUP(MAX('Proje girdileri'!AC18,ROUNDUP('Proje girdileri'!AD18/'Ayarlar'!$B$7,0))/(52/12),0)),10-5&lt;'Proje girdileri'!AH18),POWER(1-'Proje girdileri'!AT18,10-5),0)+IF(AND(6&gt;IF('Ayarlar'!$B$7&lt;=0,99,ROUNDUP(MAX('Proje girdileri'!AC18,ROUNDUP('Proje girdileri'!AD18/'Ayarlar'!$B$7,0))/(52/12),0)),10-6&lt;'Proje girdileri'!AH18),POWER(1-'Proje girdileri'!AT18,10-6),0)+IF(AND(7&gt;IF('Ayarlar'!$B$7&lt;=0,99,ROUNDUP(MAX('Proje girdileri'!AC18,ROUNDUP('Proje girdileri'!AD18/'Ayarlar'!$B$7,0))/(52/12),0)),10-7&lt;'Proje girdileri'!AH18),POWER(1-'Proje girdileri'!AT18,10-7),0)+IF(AND(8&gt;IF('Ayarlar'!$B$7&lt;=0,99,ROUNDUP(MAX('Proje girdileri'!AC18,ROUNDUP('Proje girdileri'!AD18/'Ayarlar'!$B$7,0))/(52/12),0)),10-8&lt;'Proje girdileri'!AH18),POWER(1-'Proje girdileri'!AT18,10-8),0)+IF(AND(9&gt;IF('Ayarlar'!$B$7&lt;=0,99,ROUNDUP(MAX('Proje girdileri'!AC18,ROUNDUP('Proje girdileri'!AD18/'Ayarlar'!$B$7,0))/(52/12),0)),10-9&lt;'Proje girdileri'!AH18),POWER(1-'Proje girdileri'!AT18,10-9),0)+IF(AND(10&gt;IF('Ayarlar'!$B$7&lt;=0,99,ROUNDUP(MAX('Proje girdileri'!AC18,ROUNDUP('Proje girdileri'!AD18/'Ayarlar'!$B$7,0))/(52/12),0)),10-10&lt;'Proje girdileri'!AH18),POWER(1-'Proje girdileri'!AT18,10-10),0)),IF(10&gt;IF('Ayarlar'!$B$7&lt;=0,99,ROUNDUP(MAX('Proje girdileri'!AC18,ROUNDUP('Proje girdileri'!AD18/'Ayarlar'!$B$7,0))/(52/12),0)),1,0))*('Proje girdileri'!Y18*(1-'Proje girdileri'!AA18-'Proje girdileri'!AB18)-'Proje girdileri'!Z18))-'Proje girdileri'!AJ18)</x:f>
        <x:v>0</x:v>
      </x:c>
      <x:c r="L18" s="24" t="n">
        <x:f>IF(11&gt;'Ayarlar'!$B$6,0,IF(MAX(0,'Ayarlar'!$B$6-IF('Ayarlar'!$B$7&lt;=0,99,ROUNDUP(MAX('Proje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girdileri'!AD18/'Ayarlar'!$B$7,0))/(52/12),0)),11-1&lt;'Proje girdileri'!AH18),POWER(1-'Proje girdileri'!AT18,11-1),0)+IF(AND(2&gt;IF('Ayarlar'!$B$7&lt;=0,99,ROUNDUP(MAX('Proje girdileri'!AC18,ROUNDUP('Proje girdileri'!AD18/'Ayarlar'!$B$7,0))/(52/12),0)),11-2&lt;'Proje girdileri'!AH18),POWER(1-'Proje girdileri'!AT18,11-2),0)+IF(AND(3&gt;IF('Ayarlar'!$B$7&lt;=0,99,ROUNDUP(MAX('Proje girdileri'!AC18,ROUNDUP('Proje girdileri'!AD18/'Ayarlar'!$B$7,0))/(52/12),0)),11-3&lt;'Proje girdileri'!AH18),POWER(1-'Proje girdileri'!AT18,11-3),0)+IF(AND(4&gt;IF('Ayarlar'!$B$7&lt;=0,99,ROUNDUP(MAX('Proje girdileri'!AC18,ROUNDUP('Proje girdileri'!AD18/'Ayarlar'!$B$7,0))/(52/12),0)),11-4&lt;'Proje girdileri'!AH18),POWER(1-'Proje girdileri'!AT18,11-4),0)+IF(AND(5&gt;IF('Ayarlar'!$B$7&lt;=0,99,ROUNDUP(MAX('Proje girdileri'!AC18,ROUNDUP('Proje girdileri'!AD18/'Ayarlar'!$B$7,0))/(52/12),0)),11-5&lt;'Proje girdileri'!AH18),POWER(1-'Proje girdileri'!AT18,11-5),0)+IF(AND(6&gt;IF('Ayarlar'!$B$7&lt;=0,99,ROUNDUP(MAX('Proje girdileri'!AC18,ROUNDUP('Proje girdileri'!AD18/'Ayarlar'!$B$7,0))/(52/12),0)),11-6&lt;'Proje girdileri'!AH18),POWER(1-'Proje girdileri'!AT18,11-6),0)+IF(AND(7&gt;IF('Ayarlar'!$B$7&lt;=0,99,ROUNDUP(MAX('Proje girdileri'!AC18,ROUNDUP('Proje girdileri'!AD18/'Ayarlar'!$B$7,0))/(52/12),0)),11-7&lt;'Proje girdileri'!AH18),POWER(1-'Proje girdileri'!AT18,11-7),0)+IF(AND(8&gt;IF('Ayarlar'!$B$7&lt;=0,99,ROUNDUP(MAX('Proje girdileri'!AC18,ROUNDUP('Proje girdileri'!AD18/'Ayarlar'!$B$7,0))/(52/12),0)),11-8&lt;'Proje girdileri'!AH18),POWER(1-'Proje girdileri'!AT18,11-8),0)+IF(AND(9&gt;IF('Ayarlar'!$B$7&lt;=0,99,ROUNDUP(MAX('Proje girdileri'!AC18,ROUNDUP('Proje girdileri'!AD18/'Ayarlar'!$B$7,0))/(52/12),0)),11-9&lt;'Proje girdileri'!AH18),POWER(1-'Proje girdileri'!AT18,11-9),0)+IF(AND(10&gt;IF('Ayarlar'!$B$7&lt;=0,99,ROUNDUP(MAX('Proje girdileri'!AC18,ROUNDUP('Proje girdileri'!AD18/'Ayarlar'!$B$7,0))/(52/12),0)),11-10&lt;'Proje girdileri'!AH18),POWER(1-'Proje girdileri'!AT18,11-10),0)+IF(AND(11&gt;IF('Ayarlar'!$B$7&lt;=0,99,ROUNDUP(MAX('Proje girdileri'!AC18,ROUNDUP('Proje girdileri'!AD18/'Ayarlar'!$B$7,0))/(52/12),0)),11-11&lt;'Proje girdileri'!AH18),POWER(1-'Proje girdileri'!AT18,11-11),0)),IF(11&gt;IF('Ayarlar'!$B$7&lt;=0,99,ROUNDUP(MAX('Proje girdileri'!AC18,ROUNDUP('Proje girdileri'!AD18/'Ayarlar'!$B$7,0))/(52/12),0)),1,0))*('Proje girdileri'!Y18*(1-'Proje girdileri'!AA18-'Proje girdileri'!AB18)-'Proje girdileri'!Z18))-'Proje girdileri'!AJ18)</x:f>
        <x:v>0</x:v>
      </x:c>
      <x:c r="M18" s="24" t="n">
        <x:f>IF(12&gt;'Ayarlar'!$B$6,0,IF(MAX(0,'Ayarlar'!$B$6-IF('Ayarlar'!$B$7&lt;=0,99,ROUNDUP(MAX('Proje girdileri'!AC18,ROUNDUP('Proje girdileri'!AD18/'Ayarlar'!$B$7,0))/(52/12),0)))=0,0,'Hesap'!I18/MAX(0,'Ayarlar'!$B$6-IF('Ayarlar'!$B$7&lt;=0,99,ROUNDUP(MAX('Proje girdileri'!AC18,ROUNDUP('Proje girdileri'!AD18/'Ayarlar'!$B$7,0))/(52/12),0)))*IF('Proje girdileri'!C18="recurring",(IF(AND(1&gt;IF('Ayarlar'!$B$7&lt;=0,99,ROUNDUP(MAX('Proje girdileri'!AC18,ROUNDUP('Proje girdileri'!AD18/'Ayarlar'!$B$7,0))/(52/12),0)),12-1&lt;'Proje girdileri'!AH18),POWER(1-'Proje girdileri'!AT18,12-1),0)+IF(AND(2&gt;IF('Ayarlar'!$B$7&lt;=0,99,ROUNDUP(MAX('Proje girdileri'!AC18,ROUNDUP('Proje girdileri'!AD18/'Ayarlar'!$B$7,0))/(52/12),0)),12-2&lt;'Proje girdileri'!AH18),POWER(1-'Proje girdileri'!AT18,12-2),0)+IF(AND(3&gt;IF('Ayarlar'!$B$7&lt;=0,99,ROUNDUP(MAX('Proje girdileri'!AC18,ROUNDUP('Proje girdileri'!AD18/'Ayarlar'!$B$7,0))/(52/12),0)),12-3&lt;'Proje girdileri'!AH18),POWER(1-'Proje girdileri'!AT18,12-3),0)+IF(AND(4&gt;IF('Ayarlar'!$B$7&lt;=0,99,ROUNDUP(MAX('Proje girdileri'!AC18,ROUNDUP('Proje girdileri'!AD18/'Ayarlar'!$B$7,0))/(52/12),0)),12-4&lt;'Proje girdileri'!AH18),POWER(1-'Proje girdileri'!AT18,12-4),0)+IF(AND(5&gt;IF('Ayarlar'!$B$7&lt;=0,99,ROUNDUP(MAX('Proje girdileri'!AC18,ROUNDUP('Proje girdileri'!AD18/'Ayarlar'!$B$7,0))/(52/12),0)),12-5&lt;'Proje girdileri'!AH18),POWER(1-'Proje girdileri'!AT18,12-5),0)+IF(AND(6&gt;IF('Ayarlar'!$B$7&lt;=0,99,ROUNDUP(MAX('Proje girdileri'!AC18,ROUNDUP('Proje girdileri'!AD18/'Ayarlar'!$B$7,0))/(52/12),0)),12-6&lt;'Proje girdileri'!AH18),POWER(1-'Proje girdileri'!AT18,12-6),0)+IF(AND(7&gt;IF('Ayarlar'!$B$7&lt;=0,99,ROUNDUP(MAX('Proje girdileri'!AC18,ROUNDUP('Proje girdileri'!AD18/'Ayarlar'!$B$7,0))/(52/12),0)),12-7&lt;'Proje girdileri'!AH18),POWER(1-'Proje girdileri'!AT18,12-7),0)+IF(AND(8&gt;IF('Ayarlar'!$B$7&lt;=0,99,ROUNDUP(MAX('Proje girdileri'!AC18,ROUNDUP('Proje girdileri'!AD18/'Ayarlar'!$B$7,0))/(52/12),0)),12-8&lt;'Proje girdileri'!AH18),POWER(1-'Proje girdileri'!AT18,12-8),0)+IF(AND(9&gt;IF('Ayarlar'!$B$7&lt;=0,99,ROUNDUP(MAX('Proje girdileri'!AC18,ROUNDUP('Proje girdileri'!AD18/'Ayarlar'!$B$7,0))/(52/12),0)),12-9&lt;'Proje girdileri'!AH18),POWER(1-'Proje girdileri'!AT18,12-9),0)+IF(AND(10&gt;IF('Ayarlar'!$B$7&lt;=0,99,ROUNDUP(MAX('Proje girdileri'!AC18,ROUNDUP('Proje girdileri'!AD18/'Ayarlar'!$B$7,0))/(52/12),0)),12-10&lt;'Proje girdileri'!AH18),POWER(1-'Proje girdileri'!AT18,12-10),0)+IF(AND(11&gt;IF('Ayarlar'!$B$7&lt;=0,99,ROUNDUP(MAX('Proje girdileri'!AC18,ROUNDUP('Proje girdileri'!AD18/'Ayarlar'!$B$7,0))/(52/12),0)),12-11&lt;'Proje girdileri'!AH18),POWER(1-'Proje girdileri'!AT18,12-11),0)+IF(AND(12&gt;IF('Ayarlar'!$B$7&lt;=0,99,ROUNDUP(MAX('Proje girdileri'!AC18,ROUNDUP('Proje girdileri'!AD18/'Ayarlar'!$B$7,0))/(52/12),0)),12-12&lt;'Proje girdileri'!AH18),POWER(1-'Proje girdileri'!AT18,12-12),0)),IF(12&gt;IF('Ayarlar'!$B$7&lt;=0,99,ROUNDUP(MAX('Proje girdileri'!AC18,ROUNDUP('Proje girdileri'!AD18/'Ayarlar'!$B$7,0))/(52/12),0)),1,0))*('Proje girdileri'!Y18*(1-'Proje girdileri'!AA18-'Proje girdileri'!AB18)-'Proje girdileri'!Z18))-'Proje girdileri'!AJ18)</x:f>
        <x:v>0</x:v>
      </x:c>
      <x:c r="N18" s="24" t="n">
        <x:f>SUM(B18:M18)</x:f>
        <x:v>2010</x:v>
      </x:c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</x:row>
    <x:row r="19" ht="24" customHeight="1">
      <x:c r="A19" s="2" t="str">
        <x:f>'Hesap'!B19</x:f>
        <x:v>DCP</x:v>
      </x:c>
      <x:c r="B19" s="24" t="n">
        <x:f>IF(1&gt;'Ayarlar'!$B$6,0,IF(MAX(0,'Ayarlar'!$B$6-IF('Ayarlar'!$B$7&lt;=0,99,ROUNDUP(MAX('Proje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girdileri'!AD19/'Ayarlar'!$B$7,0))/(52/12),0)),1-1&lt;'Proje girdileri'!AH19),POWER(1-'Proje girdileri'!AT19,1-1),0)),IF(1&gt;IF('Ayarlar'!$B$7&lt;=0,99,ROUNDUP(MAX('Proje girdileri'!AC19,ROUNDUP('Proje girdileri'!AD19/'Ayarlar'!$B$7,0))/(52/12),0)),1,0))*('Proje girdileri'!Y19*(1-'Proje girdileri'!AA19-'Proje girdileri'!AB19)-'Proje girdileri'!Z19))-'Proje girdileri'!AJ19-'Proje girdileri'!AI19)</x:f>
        <x:v>0</x:v>
      </x:c>
      <x:c r="C19" s="24" t="n">
        <x:f>IF(2&gt;'Ayarlar'!$B$6,0,IF(MAX(0,'Ayarlar'!$B$6-IF('Ayarlar'!$B$7&lt;=0,99,ROUNDUP(MAX('Proje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girdileri'!AD19/'Ayarlar'!$B$7,0))/(52/12),0)),2-1&lt;'Proje girdileri'!AH19),POWER(1-'Proje girdileri'!AT19,2-1),0)+IF(AND(2&gt;IF('Ayarlar'!$B$7&lt;=0,99,ROUNDUP(MAX('Proje girdileri'!AC19,ROUNDUP('Proje girdileri'!AD19/'Ayarlar'!$B$7,0))/(52/12),0)),2-2&lt;'Proje girdileri'!AH19),POWER(1-'Proje girdileri'!AT19,2-2),0)),IF(2&gt;IF('Ayarlar'!$B$7&lt;=0,99,ROUNDUP(MAX('Proje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D19" s="24" t="n">
        <x:f>IF(3&gt;'Ayarlar'!$B$6,0,IF(MAX(0,'Ayarlar'!$B$6-IF('Ayarlar'!$B$7&lt;=0,99,ROUNDUP(MAX('Proje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girdileri'!AD19/'Ayarlar'!$B$7,0))/(52/12),0)),3-1&lt;'Proje girdileri'!AH19),POWER(1-'Proje girdileri'!AT19,3-1),0)+IF(AND(2&gt;IF('Ayarlar'!$B$7&lt;=0,99,ROUNDUP(MAX('Proje girdileri'!AC19,ROUNDUP('Proje girdileri'!AD19/'Ayarlar'!$B$7,0))/(52/12),0)),3-2&lt;'Proje girdileri'!AH19),POWER(1-'Proje girdileri'!AT19,3-2),0)+IF(AND(3&gt;IF('Ayarlar'!$B$7&lt;=0,99,ROUNDUP(MAX('Proje girdileri'!AC19,ROUNDUP('Proje girdileri'!AD19/'Ayarlar'!$B$7,0))/(52/12),0)),3-3&lt;'Proje girdileri'!AH19),POWER(1-'Proje girdileri'!AT19,3-3),0)),IF(3&gt;IF('Ayarlar'!$B$7&lt;=0,99,ROUNDUP(MAX('Proje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E19" s="24" t="n">
        <x:f>IF(4&gt;'Ayarlar'!$B$6,0,IF(MAX(0,'Ayarlar'!$B$6-IF('Ayarlar'!$B$7&lt;=0,99,ROUNDUP(MAX('Proje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girdileri'!AD19/'Ayarlar'!$B$7,0))/(52/12),0)),4-1&lt;'Proje girdileri'!AH19),POWER(1-'Proje girdileri'!AT19,4-1),0)+IF(AND(2&gt;IF('Ayarlar'!$B$7&lt;=0,99,ROUNDUP(MAX('Proje girdileri'!AC19,ROUNDUP('Proje girdileri'!AD19/'Ayarlar'!$B$7,0))/(52/12),0)),4-2&lt;'Proje girdileri'!AH19),POWER(1-'Proje girdileri'!AT19,4-2),0)+IF(AND(3&gt;IF('Ayarlar'!$B$7&lt;=0,99,ROUNDUP(MAX('Proje girdileri'!AC19,ROUNDUP('Proje girdileri'!AD19/'Ayarlar'!$B$7,0))/(52/12),0)),4-3&lt;'Proje girdileri'!AH19),POWER(1-'Proje girdileri'!AT19,4-3),0)+IF(AND(4&gt;IF('Ayarlar'!$B$7&lt;=0,99,ROUNDUP(MAX('Proje girdileri'!AC19,ROUNDUP('Proje girdileri'!AD19/'Ayarlar'!$B$7,0))/(52/12),0)),4-4&lt;'Proje girdileri'!AH19),POWER(1-'Proje girdileri'!AT19,4-4),0)),IF(4&gt;IF('Ayarlar'!$B$7&lt;=0,99,ROUNDUP(MAX('Proje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F19" s="24" t="n">
        <x:f>IF(5&gt;'Ayarlar'!$B$6,0,IF(MAX(0,'Ayarlar'!$B$6-IF('Ayarlar'!$B$7&lt;=0,99,ROUNDUP(MAX('Proje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girdileri'!AD19/'Ayarlar'!$B$7,0))/(52/12),0)),5-1&lt;'Proje girdileri'!AH19),POWER(1-'Proje girdileri'!AT19,5-1),0)+IF(AND(2&gt;IF('Ayarlar'!$B$7&lt;=0,99,ROUNDUP(MAX('Proje girdileri'!AC19,ROUNDUP('Proje girdileri'!AD19/'Ayarlar'!$B$7,0))/(52/12),0)),5-2&lt;'Proje girdileri'!AH19),POWER(1-'Proje girdileri'!AT19,5-2),0)+IF(AND(3&gt;IF('Ayarlar'!$B$7&lt;=0,99,ROUNDUP(MAX('Proje girdileri'!AC19,ROUNDUP('Proje girdileri'!AD19/'Ayarlar'!$B$7,0))/(52/12),0)),5-3&lt;'Proje girdileri'!AH19),POWER(1-'Proje girdileri'!AT19,5-3),0)+IF(AND(4&gt;IF('Ayarlar'!$B$7&lt;=0,99,ROUNDUP(MAX('Proje girdileri'!AC19,ROUNDUP('Proje girdileri'!AD19/'Ayarlar'!$B$7,0))/(52/12),0)),5-4&lt;'Proje girdileri'!AH19),POWER(1-'Proje girdileri'!AT19,5-4),0)+IF(AND(5&gt;IF('Ayarlar'!$B$7&lt;=0,99,ROUNDUP(MAX('Proje girdileri'!AC19,ROUNDUP('Proje girdileri'!AD19/'Ayarlar'!$B$7,0))/(52/12),0)),5-5&lt;'Proje girdileri'!AH19),POWER(1-'Proje girdileri'!AT19,5-5),0)),IF(5&gt;IF('Ayarlar'!$B$7&lt;=0,99,ROUNDUP(MAX('Proje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G19" s="24" t="n">
        <x:f>IF(6&gt;'Ayarlar'!$B$6,0,IF(MAX(0,'Ayarlar'!$B$6-IF('Ayarlar'!$B$7&lt;=0,99,ROUNDUP(MAX('Proje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girdileri'!AD19/'Ayarlar'!$B$7,0))/(52/12),0)),6-1&lt;'Proje girdileri'!AH19),POWER(1-'Proje girdileri'!AT19,6-1),0)+IF(AND(2&gt;IF('Ayarlar'!$B$7&lt;=0,99,ROUNDUP(MAX('Proje girdileri'!AC19,ROUNDUP('Proje girdileri'!AD19/'Ayarlar'!$B$7,0))/(52/12),0)),6-2&lt;'Proje girdileri'!AH19),POWER(1-'Proje girdileri'!AT19,6-2),0)+IF(AND(3&gt;IF('Ayarlar'!$B$7&lt;=0,99,ROUNDUP(MAX('Proje girdileri'!AC19,ROUNDUP('Proje girdileri'!AD19/'Ayarlar'!$B$7,0))/(52/12),0)),6-3&lt;'Proje girdileri'!AH19),POWER(1-'Proje girdileri'!AT19,6-3),0)+IF(AND(4&gt;IF('Ayarlar'!$B$7&lt;=0,99,ROUNDUP(MAX('Proje girdileri'!AC19,ROUNDUP('Proje girdileri'!AD19/'Ayarlar'!$B$7,0))/(52/12),0)),6-4&lt;'Proje girdileri'!AH19),POWER(1-'Proje girdileri'!AT19,6-4),0)+IF(AND(5&gt;IF('Ayarlar'!$B$7&lt;=0,99,ROUNDUP(MAX('Proje girdileri'!AC19,ROUNDUP('Proje girdileri'!AD19/'Ayarlar'!$B$7,0))/(52/12),0)),6-5&lt;'Proje girdileri'!AH19),POWER(1-'Proje girdileri'!AT19,6-5),0)+IF(AND(6&gt;IF('Ayarlar'!$B$7&lt;=0,99,ROUNDUP(MAX('Proje girdileri'!AC19,ROUNDUP('Proje girdileri'!AD19/'Ayarlar'!$B$7,0))/(52/12),0)),6-6&lt;'Proje girdileri'!AH19),POWER(1-'Proje girdileri'!AT19,6-6),0)),IF(6&gt;IF('Ayarlar'!$B$7&lt;=0,99,ROUNDUP(MAX('Proje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H19" s="24" t="n">
        <x:f>IF(7&gt;'Ayarlar'!$B$6,0,IF(MAX(0,'Ayarlar'!$B$6-IF('Ayarlar'!$B$7&lt;=0,99,ROUNDUP(MAX('Proje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girdileri'!AD19/'Ayarlar'!$B$7,0))/(52/12),0)),7-1&lt;'Proje girdileri'!AH19),POWER(1-'Proje girdileri'!AT19,7-1),0)+IF(AND(2&gt;IF('Ayarlar'!$B$7&lt;=0,99,ROUNDUP(MAX('Proje girdileri'!AC19,ROUNDUP('Proje girdileri'!AD19/'Ayarlar'!$B$7,0))/(52/12),0)),7-2&lt;'Proje girdileri'!AH19),POWER(1-'Proje girdileri'!AT19,7-2),0)+IF(AND(3&gt;IF('Ayarlar'!$B$7&lt;=0,99,ROUNDUP(MAX('Proje girdileri'!AC19,ROUNDUP('Proje girdileri'!AD19/'Ayarlar'!$B$7,0))/(52/12),0)),7-3&lt;'Proje girdileri'!AH19),POWER(1-'Proje girdileri'!AT19,7-3),0)+IF(AND(4&gt;IF('Ayarlar'!$B$7&lt;=0,99,ROUNDUP(MAX('Proje girdileri'!AC19,ROUNDUP('Proje girdileri'!AD19/'Ayarlar'!$B$7,0))/(52/12),0)),7-4&lt;'Proje girdileri'!AH19),POWER(1-'Proje girdileri'!AT19,7-4),0)+IF(AND(5&gt;IF('Ayarlar'!$B$7&lt;=0,99,ROUNDUP(MAX('Proje girdileri'!AC19,ROUNDUP('Proje girdileri'!AD19/'Ayarlar'!$B$7,0))/(52/12),0)),7-5&lt;'Proje girdileri'!AH19),POWER(1-'Proje girdileri'!AT19,7-5),0)+IF(AND(6&gt;IF('Ayarlar'!$B$7&lt;=0,99,ROUNDUP(MAX('Proje girdileri'!AC19,ROUNDUP('Proje girdileri'!AD19/'Ayarlar'!$B$7,0))/(52/12),0)),7-6&lt;'Proje girdileri'!AH19),POWER(1-'Proje girdileri'!AT19,7-6),0)+IF(AND(7&gt;IF('Ayarlar'!$B$7&lt;=0,99,ROUNDUP(MAX('Proje girdileri'!AC19,ROUNDUP('Proje girdileri'!AD19/'Ayarlar'!$B$7,0))/(52/12),0)),7-7&lt;'Proje girdileri'!AH19),POWER(1-'Proje girdileri'!AT19,7-7),0)),IF(7&gt;IF('Ayarlar'!$B$7&lt;=0,99,ROUNDUP(MAX('Proje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I19" s="24" t="n">
        <x:f>IF(8&gt;'Ayarlar'!$B$6,0,IF(MAX(0,'Ayarlar'!$B$6-IF('Ayarlar'!$B$7&lt;=0,99,ROUNDUP(MAX('Proje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girdileri'!AD19/'Ayarlar'!$B$7,0))/(52/12),0)),8-1&lt;'Proje girdileri'!AH19),POWER(1-'Proje girdileri'!AT19,8-1),0)+IF(AND(2&gt;IF('Ayarlar'!$B$7&lt;=0,99,ROUNDUP(MAX('Proje girdileri'!AC19,ROUNDUP('Proje girdileri'!AD19/'Ayarlar'!$B$7,0))/(52/12),0)),8-2&lt;'Proje girdileri'!AH19),POWER(1-'Proje girdileri'!AT19,8-2),0)+IF(AND(3&gt;IF('Ayarlar'!$B$7&lt;=0,99,ROUNDUP(MAX('Proje girdileri'!AC19,ROUNDUP('Proje girdileri'!AD19/'Ayarlar'!$B$7,0))/(52/12),0)),8-3&lt;'Proje girdileri'!AH19),POWER(1-'Proje girdileri'!AT19,8-3),0)+IF(AND(4&gt;IF('Ayarlar'!$B$7&lt;=0,99,ROUNDUP(MAX('Proje girdileri'!AC19,ROUNDUP('Proje girdileri'!AD19/'Ayarlar'!$B$7,0))/(52/12),0)),8-4&lt;'Proje girdileri'!AH19),POWER(1-'Proje girdileri'!AT19,8-4),0)+IF(AND(5&gt;IF('Ayarlar'!$B$7&lt;=0,99,ROUNDUP(MAX('Proje girdileri'!AC19,ROUNDUP('Proje girdileri'!AD19/'Ayarlar'!$B$7,0))/(52/12),0)),8-5&lt;'Proje girdileri'!AH19),POWER(1-'Proje girdileri'!AT19,8-5),0)+IF(AND(6&gt;IF('Ayarlar'!$B$7&lt;=0,99,ROUNDUP(MAX('Proje girdileri'!AC19,ROUNDUP('Proje girdileri'!AD19/'Ayarlar'!$B$7,0))/(52/12),0)),8-6&lt;'Proje girdileri'!AH19),POWER(1-'Proje girdileri'!AT19,8-6),0)+IF(AND(7&gt;IF('Ayarlar'!$B$7&lt;=0,99,ROUNDUP(MAX('Proje girdileri'!AC19,ROUNDUP('Proje girdileri'!AD19/'Ayarlar'!$B$7,0))/(52/12),0)),8-7&lt;'Proje girdileri'!AH19),POWER(1-'Proje girdileri'!AT19,8-7),0)+IF(AND(8&gt;IF('Ayarlar'!$B$7&lt;=0,99,ROUNDUP(MAX('Proje girdileri'!AC19,ROUNDUP('Proje girdileri'!AD19/'Ayarlar'!$B$7,0))/(52/12),0)),8-8&lt;'Proje girdileri'!AH19),POWER(1-'Proje girdileri'!AT19,8-8),0)),IF(8&gt;IF('Ayarlar'!$B$7&lt;=0,99,ROUNDUP(MAX('Proje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J19" s="24" t="n">
        <x:f>IF(9&gt;'Ayarlar'!$B$6,0,IF(MAX(0,'Ayarlar'!$B$6-IF('Ayarlar'!$B$7&lt;=0,99,ROUNDUP(MAX('Proje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girdileri'!AD19/'Ayarlar'!$B$7,0))/(52/12),0)),9-1&lt;'Proje girdileri'!AH19),POWER(1-'Proje girdileri'!AT19,9-1),0)+IF(AND(2&gt;IF('Ayarlar'!$B$7&lt;=0,99,ROUNDUP(MAX('Proje girdileri'!AC19,ROUNDUP('Proje girdileri'!AD19/'Ayarlar'!$B$7,0))/(52/12),0)),9-2&lt;'Proje girdileri'!AH19),POWER(1-'Proje girdileri'!AT19,9-2),0)+IF(AND(3&gt;IF('Ayarlar'!$B$7&lt;=0,99,ROUNDUP(MAX('Proje girdileri'!AC19,ROUNDUP('Proje girdileri'!AD19/'Ayarlar'!$B$7,0))/(52/12),0)),9-3&lt;'Proje girdileri'!AH19),POWER(1-'Proje girdileri'!AT19,9-3),0)+IF(AND(4&gt;IF('Ayarlar'!$B$7&lt;=0,99,ROUNDUP(MAX('Proje girdileri'!AC19,ROUNDUP('Proje girdileri'!AD19/'Ayarlar'!$B$7,0))/(52/12),0)),9-4&lt;'Proje girdileri'!AH19),POWER(1-'Proje girdileri'!AT19,9-4),0)+IF(AND(5&gt;IF('Ayarlar'!$B$7&lt;=0,99,ROUNDUP(MAX('Proje girdileri'!AC19,ROUNDUP('Proje girdileri'!AD19/'Ayarlar'!$B$7,0))/(52/12),0)),9-5&lt;'Proje girdileri'!AH19),POWER(1-'Proje girdileri'!AT19,9-5),0)+IF(AND(6&gt;IF('Ayarlar'!$B$7&lt;=0,99,ROUNDUP(MAX('Proje girdileri'!AC19,ROUNDUP('Proje girdileri'!AD19/'Ayarlar'!$B$7,0))/(52/12),0)),9-6&lt;'Proje girdileri'!AH19),POWER(1-'Proje girdileri'!AT19,9-6),0)+IF(AND(7&gt;IF('Ayarlar'!$B$7&lt;=0,99,ROUNDUP(MAX('Proje girdileri'!AC19,ROUNDUP('Proje girdileri'!AD19/'Ayarlar'!$B$7,0))/(52/12),0)),9-7&lt;'Proje girdileri'!AH19),POWER(1-'Proje girdileri'!AT19,9-7),0)+IF(AND(8&gt;IF('Ayarlar'!$B$7&lt;=0,99,ROUNDUP(MAX('Proje girdileri'!AC19,ROUNDUP('Proje girdileri'!AD19/'Ayarlar'!$B$7,0))/(52/12),0)),9-8&lt;'Proje girdileri'!AH19),POWER(1-'Proje girdileri'!AT19,9-8),0)+IF(AND(9&gt;IF('Ayarlar'!$B$7&lt;=0,99,ROUNDUP(MAX('Proje girdileri'!AC19,ROUNDUP('Proje girdileri'!AD19/'Ayarlar'!$B$7,0))/(52/12),0)),9-9&lt;'Proje girdileri'!AH19),POWER(1-'Proje girdileri'!AT19,9-9),0)),IF(9&gt;IF('Ayarlar'!$B$7&lt;=0,99,ROUNDUP(MAX('Proje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K19" s="24" t="n">
        <x:f>IF(10&gt;'Ayarlar'!$B$6,0,IF(MAX(0,'Ayarlar'!$B$6-IF('Ayarlar'!$B$7&lt;=0,99,ROUNDUP(MAX('Proje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girdileri'!AD19/'Ayarlar'!$B$7,0))/(52/12),0)),10-1&lt;'Proje girdileri'!AH19),POWER(1-'Proje girdileri'!AT19,10-1),0)+IF(AND(2&gt;IF('Ayarlar'!$B$7&lt;=0,99,ROUNDUP(MAX('Proje girdileri'!AC19,ROUNDUP('Proje girdileri'!AD19/'Ayarlar'!$B$7,0))/(52/12),0)),10-2&lt;'Proje girdileri'!AH19),POWER(1-'Proje girdileri'!AT19,10-2),0)+IF(AND(3&gt;IF('Ayarlar'!$B$7&lt;=0,99,ROUNDUP(MAX('Proje girdileri'!AC19,ROUNDUP('Proje girdileri'!AD19/'Ayarlar'!$B$7,0))/(52/12),0)),10-3&lt;'Proje girdileri'!AH19),POWER(1-'Proje girdileri'!AT19,10-3),0)+IF(AND(4&gt;IF('Ayarlar'!$B$7&lt;=0,99,ROUNDUP(MAX('Proje girdileri'!AC19,ROUNDUP('Proje girdileri'!AD19/'Ayarlar'!$B$7,0))/(52/12),0)),10-4&lt;'Proje girdileri'!AH19),POWER(1-'Proje girdileri'!AT19,10-4),0)+IF(AND(5&gt;IF('Ayarlar'!$B$7&lt;=0,99,ROUNDUP(MAX('Proje girdileri'!AC19,ROUNDUP('Proje girdileri'!AD19/'Ayarlar'!$B$7,0))/(52/12),0)),10-5&lt;'Proje girdileri'!AH19),POWER(1-'Proje girdileri'!AT19,10-5),0)+IF(AND(6&gt;IF('Ayarlar'!$B$7&lt;=0,99,ROUNDUP(MAX('Proje girdileri'!AC19,ROUNDUP('Proje girdileri'!AD19/'Ayarlar'!$B$7,0))/(52/12),0)),10-6&lt;'Proje girdileri'!AH19),POWER(1-'Proje girdileri'!AT19,10-6),0)+IF(AND(7&gt;IF('Ayarlar'!$B$7&lt;=0,99,ROUNDUP(MAX('Proje girdileri'!AC19,ROUNDUP('Proje girdileri'!AD19/'Ayarlar'!$B$7,0))/(52/12),0)),10-7&lt;'Proje girdileri'!AH19),POWER(1-'Proje girdileri'!AT19,10-7),0)+IF(AND(8&gt;IF('Ayarlar'!$B$7&lt;=0,99,ROUNDUP(MAX('Proje girdileri'!AC19,ROUNDUP('Proje girdileri'!AD19/'Ayarlar'!$B$7,0))/(52/12),0)),10-8&lt;'Proje girdileri'!AH19),POWER(1-'Proje girdileri'!AT19,10-8),0)+IF(AND(9&gt;IF('Ayarlar'!$B$7&lt;=0,99,ROUNDUP(MAX('Proje girdileri'!AC19,ROUNDUP('Proje girdileri'!AD19/'Ayarlar'!$B$7,0))/(52/12),0)),10-9&lt;'Proje girdileri'!AH19),POWER(1-'Proje girdileri'!AT19,10-9),0)+IF(AND(10&gt;IF('Ayarlar'!$B$7&lt;=0,99,ROUNDUP(MAX('Proje girdileri'!AC19,ROUNDUP('Proje girdileri'!AD19/'Ayarlar'!$B$7,0))/(52/12),0)),10-10&lt;'Proje girdileri'!AH19),POWER(1-'Proje girdileri'!AT19,10-10),0)),IF(10&gt;IF('Ayarlar'!$B$7&lt;=0,99,ROUNDUP(MAX('Proje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L19" s="24" t="n">
        <x:f>IF(11&gt;'Ayarlar'!$B$6,0,IF(MAX(0,'Ayarlar'!$B$6-IF('Ayarlar'!$B$7&lt;=0,99,ROUNDUP(MAX('Proje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girdileri'!AD19/'Ayarlar'!$B$7,0))/(52/12),0)),11-1&lt;'Proje girdileri'!AH19),POWER(1-'Proje girdileri'!AT19,11-1),0)+IF(AND(2&gt;IF('Ayarlar'!$B$7&lt;=0,99,ROUNDUP(MAX('Proje girdileri'!AC19,ROUNDUP('Proje girdileri'!AD19/'Ayarlar'!$B$7,0))/(52/12),0)),11-2&lt;'Proje girdileri'!AH19),POWER(1-'Proje girdileri'!AT19,11-2),0)+IF(AND(3&gt;IF('Ayarlar'!$B$7&lt;=0,99,ROUNDUP(MAX('Proje girdileri'!AC19,ROUNDUP('Proje girdileri'!AD19/'Ayarlar'!$B$7,0))/(52/12),0)),11-3&lt;'Proje girdileri'!AH19),POWER(1-'Proje girdileri'!AT19,11-3),0)+IF(AND(4&gt;IF('Ayarlar'!$B$7&lt;=0,99,ROUNDUP(MAX('Proje girdileri'!AC19,ROUNDUP('Proje girdileri'!AD19/'Ayarlar'!$B$7,0))/(52/12),0)),11-4&lt;'Proje girdileri'!AH19),POWER(1-'Proje girdileri'!AT19,11-4),0)+IF(AND(5&gt;IF('Ayarlar'!$B$7&lt;=0,99,ROUNDUP(MAX('Proje girdileri'!AC19,ROUNDUP('Proje girdileri'!AD19/'Ayarlar'!$B$7,0))/(52/12),0)),11-5&lt;'Proje girdileri'!AH19),POWER(1-'Proje girdileri'!AT19,11-5),0)+IF(AND(6&gt;IF('Ayarlar'!$B$7&lt;=0,99,ROUNDUP(MAX('Proje girdileri'!AC19,ROUNDUP('Proje girdileri'!AD19/'Ayarlar'!$B$7,0))/(52/12),0)),11-6&lt;'Proje girdileri'!AH19),POWER(1-'Proje girdileri'!AT19,11-6),0)+IF(AND(7&gt;IF('Ayarlar'!$B$7&lt;=0,99,ROUNDUP(MAX('Proje girdileri'!AC19,ROUNDUP('Proje girdileri'!AD19/'Ayarlar'!$B$7,0))/(52/12),0)),11-7&lt;'Proje girdileri'!AH19),POWER(1-'Proje girdileri'!AT19,11-7),0)+IF(AND(8&gt;IF('Ayarlar'!$B$7&lt;=0,99,ROUNDUP(MAX('Proje girdileri'!AC19,ROUNDUP('Proje girdileri'!AD19/'Ayarlar'!$B$7,0))/(52/12),0)),11-8&lt;'Proje girdileri'!AH19),POWER(1-'Proje girdileri'!AT19,11-8),0)+IF(AND(9&gt;IF('Ayarlar'!$B$7&lt;=0,99,ROUNDUP(MAX('Proje girdileri'!AC19,ROUNDUP('Proje girdileri'!AD19/'Ayarlar'!$B$7,0))/(52/12),0)),11-9&lt;'Proje girdileri'!AH19),POWER(1-'Proje girdileri'!AT19,11-9),0)+IF(AND(10&gt;IF('Ayarlar'!$B$7&lt;=0,99,ROUNDUP(MAX('Proje girdileri'!AC19,ROUNDUP('Proje girdileri'!AD19/'Ayarlar'!$B$7,0))/(52/12),0)),11-10&lt;'Proje girdileri'!AH19),POWER(1-'Proje girdileri'!AT19,11-10),0)+IF(AND(11&gt;IF('Ayarlar'!$B$7&lt;=0,99,ROUNDUP(MAX('Proje girdileri'!AC19,ROUNDUP('Proje girdileri'!AD19/'Ayarlar'!$B$7,0))/(52/12),0)),11-11&lt;'Proje girdileri'!AH19),POWER(1-'Proje girdileri'!AT19,11-11),0)),IF(11&gt;IF('Ayarlar'!$B$7&lt;=0,99,ROUNDUP(MAX('Proje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M19" s="24" t="n">
        <x:f>IF(12&gt;'Ayarlar'!$B$6,0,IF(MAX(0,'Ayarlar'!$B$6-IF('Ayarlar'!$B$7&lt;=0,99,ROUNDUP(MAX('Proje girdileri'!AC19,ROUNDUP('Proje girdileri'!AD19/'Ayarlar'!$B$7,0))/(52/12),0)))=0,0,'Hesap'!I19/MAX(0,'Ayarlar'!$B$6-IF('Ayarlar'!$B$7&lt;=0,99,ROUNDUP(MAX('Proje girdileri'!AC19,ROUNDUP('Proje girdileri'!AD19/'Ayarlar'!$B$7,0))/(52/12),0)))*IF('Proje girdileri'!C19="recurring",(IF(AND(1&gt;IF('Ayarlar'!$B$7&lt;=0,99,ROUNDUP(MAX('Proje girdileri'!AC19,ROUNDUP('Proje girdileri'!AD19/'Ayarlar'!$B$7,0))/(52/12),0)),12-1&lt;'Proje girdileri'!AH19),POWER(1-'Proje girdileri'!AT19,12-1),0)+IF(AND(2&gt;IF('Ayarlar'!$B$7&lt;=0,99,ROUNDUP(MAX('Proje girdileri'!AC19,ROUNDUP('Proje girdileri'!AD19/'Ayarlar'!$B$7,0))/(52/12),0)),12-2&lt;'Proje girdileri'!AH19),POWER(1-'Proje girdileri'!AT19,12-2),0)+IF(AND(3&gt;IF('Ayarlar'!$B$7&lt;=0,99,ROUNDUP(MAX('Proje girdileri'!AC19,ROUNDUP('Proje girdileri'!AD19/'Ayarlar'!$B$7,0))/(52/12),0)),12-3&lt;'Proje girdileri'!AH19),POWER(1-'Proje girdileri'!AT19,12-3),0)+IF(AND(4&gt;IF('Ayarlar'!$B$7&lt;=0,99,ROUNDUP(MAX('Proje girdileri'!AC19,ROUNDUP('Proje girdileri'!AD19/'Ayarlar'!$B$7,0))/(52/12),0)),12-4&lt;'Proje girdileri'!AH19),POWER(1-'Proje girdileri'!AT19,12-4),0)+IF(AND(5&gt;IF('Ayarlar'!$B$7&lt;=0,99,ROUNDUP(MAX('Proje girdileri'!AC19,ROUNDUP('Proje girdileri'!AD19/'Ayarlar'!$B$7,0))/(52/12),0)),12-5&lt;'Proje girdileri'!AH19),POWER(1-'Proje girdileri'!AT19,12-5),0)+IF(AND(6&gt;IF('Ayarlar'!$B$7&lt;=0,99,ROUNDUP(MAX('Proje girdileri'!AC19,ROUNDUP('Proje girdileri'!AD19/'Ayarlar'!$B$7,0))/(52/12),0)),12-6&lt;'Proje girdileri'!AH19),POWER(1-'Proje girdileri'!AT19,12-6),0)+IF(AND(7&gt;IF('Ayarlar'!$B$7&lt;=0,99,ROUNDUP(MAX('Proje girdileri'!AC19,ROUNDUP('Proje girdileri'!AD19/'Ayarlar'!$B$7,0))/(52/12),0)),12-7&lt;'Proje girdileri'!AH19),POWER(1-'Proje girdileri'!AT19,12-7),0)+IF(AND(8&gt;IF('Ayarlar'!$B$7&lt;=0,99,ROUNDUP(MAX('Proje girdileri'!AC19,ROUNDUP('Proje girdileri'!AD19/'Ayarlar'!$B$7,0))/(52/12),0)),12-8&lt;'Proje girdileri'!AH19),POWER(1-'Proje girdileri'!AT19,12-8),0)+IF(AND(9&gt;IF('Ayarlar'!$B$7&lt;=0,99,ROUNDUP(MAX('Proje girdileri'!AC19,ROUNDUP('Proje girdileri'!AD19/'Ayarlar'!$B$7,0))/(52/12),0)),12-9&lt;'Proje girdileri'!AH19),POWER(1-'Proje girdileri'!AT19,12-9),0)+IF(AND(10&gt;IF('Ayarlar'!$B$7&lt;=0,99,ROUNDUP(MAX('Proje girdileri'!AC19,ROUNDUP('Proje girdileri'!AD19/'Ayarlar'!$B$7,0))/(52/12),0)),12-10&lt;'Proje girdileri'!AH19),POWER(1-'Proje girdileri'!AT19,12-10),0)+IF(AND(11&gt;IF('Ayarlar'!$B$7&lt;=0,99,ROUNDUP(MAX('Proje girdileri'!AC19,ROUNDUP('Proje girdileri'!AD19/'Ayarlar'!$B$7,0))/(52/12),0)),12-11&lt;'Proje girdileri'!AH19),POWER(1-'Proje girdileri'!AT19,12-11),0)+IF(AND(12&gt;IF('Ayarlar'!$B$7&lt;=0,99,ROUNDUP(MAX('Proje girdileri'!AC19,ROUNDUP('Proje girdileri'!AD19/'Ayarlar'!$B$7,0))/(52/12),0)),12-12&lt;'Proje girdileri'!AH19),POWER(1-'Proje girdileri'!AT19,12-12),0)),IF(12&gt;IF('Ayarlar'!$B$7&lt;=0,99,ROUNDUP(MAX('Proje girdileri'!AC19,ROUNDUP('Proje girdileri'!AD19/'Ayarlar'!$B$7,0))/(52/12),0)),1,0))*('Proje girdileri'!Y19*(1-'Proje girdileri'!AA19-'Proje girdileri'!AB19)-'Proje girdileri'!Z19))-'Proje girdileri'!AJ19)</x:f>
        <x:v>0</x:v>
      </x:c>
      <x:c r="N19" s="24" t="n">
        <x:f>SUM(B19:M19)</x:f>
        <x:v>0</x:v>
      </x:c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</x:row>
    <x:row r="20" ht="24" customHeight="1">
      <x:c r="A20" s="2" t="str">
        <x:f>'Hesap'!B20</x:f>
        <x:v>Mimari şema çıktısı</x:v>
      </x:c>
      <x:c r="B20" s="24" t="n">
        <x:f>IF(1&gt;'Ayarlar'!$B$6,0,IF(MAX(0,'Ayarlar'!$B$6-IF('Ayarlar'!$B$7&lt;=0,99,ROUNDUP(MAX('Proje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girdileri'!AD20/'Ayarlar'!$B$7,0))/(52/12),0)),1-1&lt;'Proje girdileri'!AH20),POWER(1-'Proje girdileri'!AT20,1-1),0)),IF(1&gt;IF('Ayarlar'!$B$7&lt;=0,99,ROUNDUP(MAX('Proje girdileri'!AC20,ROUNDUP('Proje girdileri'!AD20/'Ayarlar'!$B$7,0))/(52/12),0)),1,0))*('Proje girdileri'!Y20*(1-'Proje girdileri'!AA20-'Proje girdileri'!AB20)-'Proje girdileri'!Z20))-'Proje girdileri'!AJ20-'Proje girdileri'!AI20)</x:f>
        <x:v>-83</x:v>
      </x:c>
      <x:c r="C20" s="24" t="n">
        <x:f>IF(2&gt;'Ayarlar'!$B$6,0,IF(MAX(0,'Ayarlar'!$B$6-IF('Ayarlar'!$B$7&lt;=0,99,ROUNDUP(MAX('Proje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girdileri'!AD20/'Ayarlar'!$B$7,0))/(52/12),0)),2-1&lt;'Proje girdileri'!AH20),POWER(1-'Proje girdileri'!AT20,2-1),0)+IF(AND(2&gt;IF('Ayarlar'!$B$7&lt;=0,99,ROUNDUP(MAX('Proje girdileri'!AC20,ROUNDUP('Proje girdileri'!AD20/'Ayarlar'!$B$7,0))/(52/12),0)),2-2&lt;'Proje girdileri'!AH20),POWER(1-'Proje girdileri'!AT20,2-2),0)),IF(2&gt;IF('Ayarlar'!$B$7&lt;=0,99,ROUNDUP(MAX('Proje girdileri'!AC20,ROUNDUP('Proje girdileri'!AD20/'Ayarlar'!$B$7,0))/(52/12),0)),1,0))*('Proje girdileri'!Y20*(1-'Proje girdileri'!AA20-'Proje girdileri'!AB20)-'Proje girdileri'!Z20))-'Proje girdileri'!AJ20)</x:f>
        <x:v>-8</x:v>
      </x:c>
      <x:c r="D20" s="24" t="n">
        <x:f>IF(3&gt;'Ayarlar'!$B$6,0,IF(MAX(0,'Ayarlar'!$B$6-IF('Ayarlar'!$B$7&lt;=0,99,ROUNDUP(MAX('Proje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girdileri'!AD20/'Ayarlar'!$B$7,0))/(52/12),0)),3-1&lt;'Proje girdileri'!AH20),POWER(1-'Proje girdileri'!AT20,3-1),0)+IF(AND(2&gt;IF('Ayarlar'!$B$7&lt;=0,99,ROUNDUP(MAX('Proje girdileri'!AC20,ROUNDUP('Proje girdileri'!AD20/'Ayarlar'!$B$7,0))/(52/12),0)),3-2&lt;'Proje girdileri'!AH20),POWER(1-'Proje girdileri'!AT20,3-2),0)+IF(AND(3&gt;IF('Ayarlar'!$B$7&lt;=0,99,ROUNDUP(MAX('Proje girdileri'!AC20,ROUNDUP('Proje girdileri'!AD20/'Ayarlar'!$B$7,0))/(52/12),0)),3-3&lt;'Proje girdileri'!AH20),POWER(1-'Proje girdileri'!AT20,3-3),0)),IF(3&gt;IF('Ayarlar'!$B$7&lt;=0,99,ROUNDUP(MAX('Proje girdileri'!AC20,ROUNDUP('Proje girdileri'!AD20/'Ayarlar'!$B$7,0))/(52/12),0)),1,0))*('Proje girdileri'!Y20*(1-'Proje girdileri'!AA20-'Proje girdileri'!AB20)-'Proje girdileri'!Z20))-'Proje girdileri'!AJ20)</x:f>
        <x:v>116.12499999999997</x:v>
      </x:c>
      <x:c r="E20" s="24" t="n">
        <x:f>IF(4&gt;'Ayarlar'!$B$6,0,IF(MAX(0,'Ayarlar'!$B$6-IF('Ayarlar'!$B$7&lt;=0,99,ROUNDUP(MAX('Proje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girdileri'!AD20/'Ayarlar'!$B$7,0))/(52/12),0)),4-1&lt;'Proje girdileri'!AH20),POWER(1-'Proje girdileri'!AT20,4-1),0)+IF(AND(2&gt;IF('Ayarlar'!$B$7&lt;=0,99,ROUNDUP(MAX('Proje girdileri'!AC20,ROUNDUP('Proje girdileri'!AD20/'Ayarlar'!$B$7,0))/(52/12),0)),4-2&lt;'Proje girdileri'!AH20),POWER(1-'Proje girdileri'!AT20,4-2),0)+IF(AND(3&gt;IF('Ayarlar'!$B$7&lt;=0,99,ROUNDUP(MAX('Proje girdileri'!AC20,ROUNDUP('Proje girdileri'!AD20/'Ayarlar'!$B$7,0))/(52/12),0)),4-3&lt;'Proje girdileri'!AH20),POWER(1-'Proje girdileri'!AT20,4-3),0)+IF(AND(4&gt;IF('Ayarlar'!$B$7&lt;=0,99,ROUNDUP(MAX('Proje girdileri'!AC20,ROUNDUP('Proje girdileri'!AD20/'Ayarlar'!$B$7,0))/(52/12),0)),4-4&lt;'Proje girdileri'!AH20),POWER(1-'Proje girdileri'!AT20,4-4),0)),IF(4&gt;IF('Ayarlar'!$B$7&lt;=0,99,ROUNDUP(MAX('Proje girdileri'!AC20,ROUNDUP('Proje girdileri'!AD20/'Ayarlar'!$B$7,0))/(52/12),0)),1,0))*('Proje girdileri'!Y20*(1-'Proje girdileri'!AA20-'Proje girdileri'!AB20)-'Proje girdileri'!Z20))-'Proje girdileri'!AJ20)</x:f>
        <x:v>116.12499999999997</x:v>
      </x:c>
      <x:c r="F20" s="24" t="n">
        <x:f>IF(5&gt;'Ayarlar'!$B$6,0,IF(MAX(0,'Ayarlar'!$B$6-IF('Ayarlar'!$B$7&lt;=0,99,ROUNDUP(MAX('Proje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girdileri'!AD20/'Ayarlar'!$B$7,0))/(52/12),0)),5-1&lt;'Proje girdileri'!AH20),POWER(1-'Proje girdileri'!AT20,5-1),0)+IF(AND(2&gt;IF('Ayarlar'!$B$7&lt;=0,99,ROUNDUP(MAX('Proje girdileri'!AC20,ROUNDUP('Proje girdileri'!AD20/'Ayarlar'!$B$7,0))/(52/12),0)),5-2&lt;'Proje girdileri'!AH20),POWER(1-'Proje girdileri'!AT20,5-2),0)+IF(AND(3&gt;IF('Ayarlar'!$B$7&lt;=0,99,ROUNDUP(MAX('Proje girdileri'!AC20,ROUNDUP('Proje girdileri'!AD20/'Ayarlar'!$B$7,0))/(52/12),0)),5-3&lt;'Proje girdileri'!AH20),POWER(1-'Proje girdileri'!AT20,5-3),0)+IF(AND(4&gt;IF('Ayarlar'!$B$7&lt;=0,99,ROUNDUP(MAX('Proje girdileri'!AC20,ROUNDUP('Proje girdileri'!AD20/'Ayarlar'!$B$7,0))/(52/12),0)),5-4&lt;'Proje girdileri'!AH20),POWER(1-'Proje girdileri'!AT20,5-4),0)+IF(AND(5&gt;IF('Ayarlar'!$B$7&lt;=0,99,ROUNDUP(MAX('Proje girdileri'!AC20,ROUNDUP('Proje girdileri'!AD20/'Ayarlar'!$B$7,0))/(52/12),0)),5-5&lt;'Proje girdileri'!AH20),POWER(1-'Proje girdileri'!AT20,5-5),0)),IF(5&gt;IF('Ayarlar'!$B$7&lt;=0,99,ROUNDUP(MAX('Proje girdileri'!AC20,ROUNDUP('Proje girdileri'!AD20/'Ayarlar'!$B$7,0))/(52/12),0)),1,0))*('Proje girdileri'!Y20*(1-'Proje girdileri'!AA20-'Proje girdileri'!AB20)-'Proje girdileri'!Z20))-'Proje girdileri'!AJ20)</x:f>
        <x:v>116.12499999999997</x:v>
      </x:c>
      <x:c r="G20" s="24" t="n">
        <x:f>IF(6&gt;'Ayarlar'!$B$6,0,IF(MAX(0,'Ayarlar'!$B$6-IF('Ayarlar'!$B$7&lt;=0,99,ROUNDUP(MAX('Proje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girdileri'!AD20/'Ayarlar'!$B$7,0))/(52/12),0)),6-1&lt;'Proje girdileri'!AH20),POWER(1-'Proje girdileri'!AT20,6-1),0)+IF(AND(2&gt;IF('Ayarlar'!$B$7&lt;=0,99,ROUNDUP(MAX('Proje girdileri'!AC20,ROUNDUP('Proje girdileri'!AD20/'Ayarlar'!$B$7,0))/(52/12),0)),6-2&lt;'Proje girdileri'!AH20),POWER(1-'Proje girdileri'!AT20,6-2),0)+IF(AND(3&gt;IF('Ayarlar'!$B$7&lt;=0,99,ROUNDUP(MAX('Proje girdileri'!AC20,ROUNDUP('Proje girdileri'!AD20/'Ayarlar'!$B$7,0))/(52/12),0)),6-3&lt;'Proje girdileri'!AH20),POWER(1-'Proje girdileri'!AT20,6-3),0)+IF(AND(4&gt;IF('Ayarlar'!$B$7&lt;=0,99,ROUNDUP(MAX('Proje girdileri'!AC20,ROUNDUP('Proje girdileri'!AD20/'Ayarlar'!$B$7,0))/(52/12),0)),6-4&lt;'Proje girdileri'!AH20),POWER(1-'Proje girdileri'!AT20,6-4),0)+IF(AND(5&gt;IF('Ayarlar'!$B$7&lt;=0,99,ROUNDUP(MAX('Proje girdileri'!AC20,ROUNDUP('Proje girdileri'!AD20/'Ayarlar'!$B$7,0))/(52/12),0)),6-5&lt;'Proje girdileri'!AH20),POWER(1-'Proje girdileri'!AT20,6-5),0)+IF(AND(6&gt;IF('Ayarlar'!$B$7&lt;=0,99,ROUNDUP(MAX('Proje girdileri'!AC20,ROUNDUP('Proje girdileri'!AD20/'Ayarlar'!$B$7,0))/(52/12),0)),6-6&lt;'Proje girdileri'!AH20),POWER(1-'Proje girdileri'!AT20,6-6),0)),IF(6&gt;IF('Ayarlar'!$B$7&lt;=0,99,ROUNDUP(MAX('Proje girdileri'!AC20,ROUNDUP('Proje girdileri'!AD20/'Ayarlar'!$B$7,0))/(52/12),0)),1,0))*('Proje girdileri'!Y20*(1-'Proje girdileri'!AA20-'Proje girdileri'!AB20)-'Proje girdileri'!Z20))-'Proje girdileri'!AJ20)</x:f>
        <x:v>116.12499999999997</x:v>
      </x:c>
      <x:c r="H20" s="24" t="n">
        <x:f>IF(7&gt;'Ayarlar'!$B$6,0,IF(MAX(0,'Ayarlar'!$B$6-IF('Ayarlar'!$B$7&lt;=0,99,ROUNDUP(MAX('Proje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girdileri'!AD20/'Ayarlar'!$B$7,0))/(52/12),0)),7-1&lt;'Proje girdileri'!AH20),POWER(1-'Proje girdileri'!AT20,7-1),0)+IF(AND(2&gt;IF('Ayarlar'!$B$7&lt;=0,99,ROUNDUP(MAX('Proje girdileri'!AC20,ROUNDUP('Proje girdileri'!AD20/'Ayarlar'!$B$7,0))/(52/12),0)),7-2&lt;'Proje girdileri'!AH20),POWER(1-'Proje girdileri'!AT20,7-2),0)+IF(AND(3&gt;IF('Ayarlar'!$B$7&lt;=0,99,ROUNDUP(MAX('Proje girdileri'!AC20,ROUNDUP('Proje girdileri'!AD20/'Ayarlar'!$B$7,0))/(52/12),0)),7-3&lt;'Proje girdileri'!AH20),POWER(1-'Proje girdileri'!AT20,7-3),0)+IF(AND(4&gt;IF('Ayarlar'!$B$7&lt;=0,99,ROUNDUP(MAX('Proje girdileri'!AC20,ROUNDUP('Proje girdileri'!AD20/'Ayarlar'!$B$7,0))/(52/12),0)),7-4&lt;'Proje girdileri'!AH20),POWER(1-'Proje girdileri'!AT20,7-4),0)+IF(AND(5&gt;IF('Ayarlar'!$B$7&lt;=0,99,ROUNDUP(MAX('Proje girdileri'!AC20,ROUNDUP('Proje girdileri'!AD20/'Ayarlar'!$B$7,0))/(52/12),0)),7-5&lt;'Proje girdileri'!AH20),POWER(1-'Proje girdileri'!AT20,7-5),0)+IF(AND(6&gt;IF('Ayarlar'!$B$7&lt;=0,99,ROUNDUP(MAX('Proje girdileri'!AC20,ROUNDUP('Proje girdileri'!AD20/'Ayarlar'!$B$7,0))/(52/12),0)),7-6&lt;'Proje girdileri'!AH20),POWER(1-'Proje girdileri'!AT20,7-6),0)+IF(AND(7&gt;IF('Ayarlar'!$B$7&lt;=0,99,ROUNDUP(MAX('Proje girdileri'!AC20,ROUNDUP('Proje girdileri'!AD20/'Ayarlar'!$B$7,0))/(52/12),0)),7-7&lt;'Proje girdileri'!AH20),POWER(1-'Proje girdileri'!AT20,7-7),0)),IF(7&gt;IF('Ayarlar'!$B$7&lt;=0,99,ROUNDUP(MAX('Proje girdileri'!AC20,ROUNDUP('Proje girdileri'!AD20/'Ayarlar'!$B$7,0))/(52/12),0)),1,0))*('Proje girdileri'!Y20*(1-'Proje girdileri'!AA20-'Proje girdileri'!AB20)-'Proje girdileri'!Z20))-'Proje girdileri'!AJ20)</x:f>
        <x:v>0</x:v>
      </x:c>
      <x:c r="I20" s="24" t="n">
        <x:f>IF(8&gt;'Ayarlar'!$B$6,0,IF(MAX(0,'Ayarlar'!$B$6-IF('Ayarlar'!$B$7&lt;=0,99,ROUNDUP(MAX('Proje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girdileri'!AD20/'Ayarlar'!$B$7,0))/(52/12),0)),8-1&lt;'Proje girdileri'!AH20),POWER(1-'Proje girdileri'!AT20,8-1),0)+IF(AND(2&gt;IF('Ayarlar'!$B$7&lt;=0,99,ROUNDUP(MAX('Proje girdileri'!AC20,ROUNDUP('Proje girdileri'!AD20/'Ayarlar'!$B$7,0))/(52/12),0)),8-2&lt;'Proje girdileri'!AH20),POWER(1-'Proje girdileri'!AT20,8-2),0)+IF(AND(3&gt;IF('Ayarlar'!$B$7&lt;=0,99,ROUNDUP(MAX('Proje girdileri'!AC20,ROUNDUP('Proje girdileri'!AD20/'Ayarlar'!$B$7,0))/(52/12),0)),8-3&lt;'Proje girdileri'!AH20),POWER(1-'Proje girdileri'!AT20,8-3),0)+IF(AND(4&gt;IF('Ayarlar'!$B$7&lt;=0,99,ROUNDUP(MAX('Proje girdileri'!AC20,ROUNDUP('Proje girdileri'!AD20/'Ayarlar'!$B$7,0))/(52/12),0)),8-4&lt;'Proje girdileri'!AH20),POWER(1-'Proje girdileri'!AT20,8-4),0)+IF(AND(5&gt;IF('Ayarlar'!$B$7&lt;=0,99,ROUNDUP(MAX('Proje girdileri'!AC20,ROUNDUP('Proje girdileri'!AD20/'Ayarlar'!$B$7,0))/(52/12),0)),8-5&lt;'Proje girdileri'!AH20),POWER(1-'Proje girdileri'!AT20,8-5),0)+IF(AND(6&gt;IF('Ayarlar'!$B$7&lt;=0,99,ROUNDUP(MAX('Proje girdileri'!AC20,ROUNDUP('Proje girdileri'!AD20/'Ayarlar'!$B$7,0))/(52/12),0)),8-6&lt;'Proje girdileri'!AH20),POWER(1-'Proje girdileri'!AT20,8-6),0)+IF(AND(7&gt;IF('Ayarlar'!$B$7&lt;=0,99,ROUNDUP(MAX('Proje girdileri'!AC20,ROUNDUP('Proje girdileri'!AD20/'Ayarlar'!$B$7,0))/(52/12),0)),8-7&lt;'Proje girdileri'!AH20),POWER(1-'Proje girdileri'!AT20,8-7),0)+IF(AND(8&gt;IF('Ayarlar'!$B$7&lt;=0,99,ROUNDUP(MAX('Proje girdileri'!AC20,ROUNDUP('Proje girdileri'!AD20/'Ayarlar'!$B$7,0))/(52/12),0)),8-8&lt;'Proje girdileri'!AH20),POWER(1-'Proje girdileri'!AT20,8-8),0)),IF(8&gt;IF('Ayarlar'!$B$7&lt;=0,99,ROUNDUP(MAX('Proje girdileri'!AC20,ROUNDUP('Proje girdileri'!AD20/'Ayarlar'!$B$7,0))/(52/12),0)),1,0))*('Proje girdileri'!Y20*(1-'Proje girdileri'!AA20-'Proje girdileri'!AB20)-'Proje girdileri'!Z20))-'Proje girdileri'!AJ20)</x:f>
        <x:v>0</x:v>
      </x:c>
      <x:c r="J20" s="24" t="n">
        <x:f>IF(9&gt;'Ayarlar'!$B$6,0,IF(MAX(0,'Ayarlar'!$B$6-IF('Ayarlar'!$B$7&lt;=0,99,ROUNDUP(MAX('Proje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girdileri'!AD20/'Ayarlar'!$B$7,0))/(52/12),0)),9-1&lt;'Proje girdileri'!AH20),POWER(1-'Proje girdileri'!AT20,9-1),0)+IF(AND(2&gt;IF('Ayarlar'!$B$7&lt;=0,99,ROUNDUP(MAX('Proje girdileri'!AC20,ROUNDUP('Proje girdileri'!AD20/'Ayarlar'!$B$7,0))/(52/12),0)),9-2&lt;'Proje girdileri'!AH20),POWER(1-'Proje girdileri'!AT20,9-2),0)+IF(AND(3&gt;IF('Ayarlar'!$B$7&lt;=0,99,ROUNDUP(MAX('Proje girdileri'!AC20,ROUNDUP('Proje girdileri'!AD20/'Ayarlar'!$B$7,0))/(52/12),0)),9-3&lt;'Proje girdileri'!AH20),POWER(1-'Proje girdileri'!AT20,9-3),0)+IF(AND(4&gt;IF('Ayarlar'!$B$7&lt;=0,99,ROUNDUP(MAX('Proje girdileri'!AC20,ROUNDUP('Proje girdileri'!AD20/'Ayarlar'!$B$7,0))/(52/12),0)),9-4&lt;'Proje girdileri'!AH20),POWER(1-'Proje girdileri'!AT20,9-4),0)+IF(AND(5&gt;IF('Ayarlar'!$B$7&lt;=0,99,ROUNDUP(MAX('Proje girdileri'!AC20,ROUNDUP('Proje girdileri'!AD20/'Ayarlar'!$B$7,0))/(52/12),0)),9-5&lt;'Proje girdileri'!AH20),POWER(1-'Proje girdileri'!AT20,9-5),0)+IF(AND(6&gt;IF('Ayarlar'!$B$7&lt;=0,99,ROUNDUP(MAX('Proje girdileri'!AC20,ROUNDUP('Proje girdileri'!AD20/'Ayarlar'!$B$7,0))/(52/12),0)),9-6&lt;'Proje girdileri'!AH20),POWER(1-'Proje girdileri'!AT20,9-6),0)+IF(AND(7&gt;IF('Ayarlar'!$B$7&lt;=0,99,ROUNDUP(MAX('Proje girdileri'!AC20,ROUNDUP('Proje girdileri'!AD20/'Ayarlar'!$B$7,0))/(52/12),0)),9-7&lt;'Proje girdileri'!AH20),POWER(1-'Proje girdileri'!AT20,9-7),0)+IF(AND(8&gt;IF('Ayarlar'!$B$7&lt;=0,99,ROUNDUP(MAX('Proje girdileri'!AC20,ROUNDUP('Proje girdileri'!AD20/'Ayarlar'!$B$7,0))/(52/12),0)),9-8&lt;'Proje girdileri'!AH20),POWER(1-'Proje girdileri'!AT20,9-8),0)+IF(AND(9&gt;IF('Ayarlar'!$B$7&lt;=0,99,ROUNDUP(MAX('Proje girdileri'!AC20,ROUNDUP('Proje girdileri'!AD20/'Ayarlar'!$B$7,0))/(52/12),0)),9-9&lt;'Proje girdileri'!AH20),POWER(1-'Proje girdileri'!AT20,9-9),0)),IF(9&gt;IF('Ayarlar'!$B$7&lt;=0,99,ROUNDUP(MAX('Proje girdileri'!AC20,ROUNDUP('Proje girdileri'!AD20/'Ayarlar'!$B$7,0))/(52/12),0)),1,0))*('Proje girdileri'!Y20*(1-'Proje girdileri'!AA20-'Proje girdileri'!AB20)-'Proje girdileri'!Z20))-'Proje girdileri'!AJ20)</x:f>
        <x:v>0</x:v>
      </x:c>
      <x:c r="K20" s="24" t="n">
        <x:f>IF(10&gt;'Ayarlar'!$B$6,0,IF(MAX(0,'Ayarlar'!$B$6-IF('Ayarlar'!$B$7&lt;=0,99,ROUNDUP(MAX('Proje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girdileri'!AD20/'Ayarlar'!$B$7,0))/(52/12),0)),10-1&lt;'Proje girdileri'!AH20),POWER(1-'Proje girdileri'!AT20,10-1),0)+IF(AND(2&gt;IF('Ayarlar'!$B$7&lt;=0,99,ROUNDUP(MAX('Proje girdileri'!AC20,ROUNDUP('Proje girdileri'!AD20/'Ayarlar'!$B$7,0))/(52/12),0)),10-2&lt;'Proje girdileri'!AH20),POWER(1-'Proje girdileri'!AT20,10-2),0)+IF(AND(3&gt;IF('Ayarlar'!$B$7&lt;=0,99,ROUNDUP(MAX('Proje girdileri'!AC20,ROUNDUP('Proje girdileri'!AD20/'Ayarlar'!$B$7,0))/(52/12),0)),10-3&lt;'Proje girdileri'!AH20),POWER(1-'Proje girdileri'!AT20,10-3),0)+IF(AND(4&gt;IF('Ayarlar'!$B$7&lt;=0,99,ROUNDUP(MAX('Proje girdileri'!AC20,ROUNDUP('Proje girdileri'!AD20/'Ayarlar'!$B$7,0))/(52/12),0)),10-4&lt;'Proje girdileri'!AH20),POWER(1-'Proje girdileri'!AT20,10-4),0)+IF(AND(5&gt;IF('Ayarlar'!$B$7&lt;=0,99,ROUNDUP(MAX('Proje girdileri'!AC20,ROUNDUP('Proje girdileri'!AD20/'Ayarlar'!$B$7,0))/(52/12),0)),10-5&lt;'Proje girdileri'!AH20),POWER(1-'Proje girdileri'!AT20,10-5),0)+IF(AND(6&gt;IF('Ayarlar'!$B$7&lt;=0,99,ROUNDUP(MAX('Proje girdileri'!AC20,ROUNDUP('Proje girdileri'!AD20/'Ayarlar'!$B$7,0))/(52/12),0)),10-6&lt;'Proje girdileri'!AH20),POWER(1-'Proje girdileri'!AT20,10-6),0)+IF(AND(7&gt;IF('Ayarlar'!$B$7&lt;=0,99,ROUNDUP(MAX('Proje girdileri'!AC20,ROUNDUP('Proje girdileri'!AD20/'Ayarlar'!$B$7,0))/(52/12),0)),10-7&lt;'Proje girdileri'!AH20),POWER(1-'Proje girdileri'!AT20,10-7),0)+IF(AND(8&gt;IF('Ayarlar'!$B$7&lt;=0,99,ROUNDUP(MAX('Proje girdileri'!AC20,ROUNDUP('Proje girdileri'!AD20/'Ayarlar'!$B$7,0))/(52/12),0)),10-8&lt;'Proje girdileri'!AH20),POWER(1-'Proje girdileri'!AT20,10-8),0)+IF(AND(9&gt;IF('Ayarlar'!$B$7&lt;=0,99,ROUNDUP(MAX('Proje girdileri'!AC20,ROUNDUP('Proje girdileri'!AD20/'Ayarlar'!$B$7,0))/(52/12),0)),10-9&lt;'Proje girdileri'!AH20),POWER(1-'Proje girdileri'!AT20,10-9),0)+IF(AND(10&gt;IF('Ayarlar'!$B$7&lt;=0,99,ROUNDUP(MAX('Proje girdileri'!AC20,ROUNDUP('Proje girdileri'!AD20/'Ayarlar'!$B$7,0))/(52/12),0)),10-10&lt;'Proje girdileri'!AH20),POWER(1-'Proje girdileri'!AT20,10-10),0)),IF(10&gt;IF('Ayarlar'!$B$7&lt;=0,99,ROUNDUP(MAX('Proje girdileri'!AC20,ROUNDUP('Proje girdileri'!AD20/'Ayarlar'!$B$7,0))/(52/12),0)),1,0))*('Proje girdileri'!Y20*(1-'Proje girdileri'!AA20-'Proje girdileri'!AB20)-'Proje girdileri'!Z20))-'Proje girdileri'!AJ20)</x:f>
        <x:v>0</x:v>
      </x:c>
      <x:c r="L20" s="24" t="n">
        <x:f>IF(11&gt;'Ayarlar'!$B$6,0,IF(MAX(0,'Ayarlar'!$B$6-IF('Ayarlar'!$B$7&lt;=0,99,ROUNDUP(MAX('Proje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girdileri'!AD20/'Ayarlar'!$B$7,0))/(52/12),0)),11-1&lt;'Proje girdileri'!AH20),POWER(1-'Proje girdileri'!AT20,11-1),0)+IF(AND(2&gt;IF('Ayarlar'!$B$7&lt;=0,99,ROUNDUP(MAX('Proje girdileri'!AC20,ROUNDUP('Proje girdileri'!AD20/'Ayarlar'!$B$7,0))/(52/12),0)),11-2&lt;'Proje girdileri'!AH20),POWER(1-'Proje girdileri'!AT20,11-2),0)+IF(AND(3&gt;IF('Ayarlar'!$B$7&lt;=0,99,ROUNDUP(MAX('Proje girdileri'!AC20,ROUNDUP('Proje girdileri'!AD20/'Ayarlar'!$B$7,0))/(52/12),0)),11-3&lt;'Proje girdileri'!AH20),POWER(1-'Proje girdileri'!AT20,11-3),0)+IF(AND(4&gt;IF('Ayarlar'!$B$7&lt;=0,99,ROUNDUP(MAX('Proje girdileri'!AC20,ROUNDUP('Proje girdileri'!AD20/'Ayarlar'!$B$7,0))/(52/12),0)),11-4&lt;'Proje girdileri'!AH20),POWER(1-'Proje girdileri'!AT20,11-4),0)+IF(AND(5&gt;IF('Ayarlar'!$B$7&lt;=0,99,ROUNDUP(MAX('Proje girdileri'!AC20,ROUNDUP('Proje girdileri'!AD20/'Ayarlar'!$B$7,0))/(52/12),0)),11-5&lt;'Proje girdileri'!AH20),POWER(1-'Proje girdileri'!AT20,11-5),0)+IF(AND(6&gt;IF('Ayarlar'!$B$7&lt;=0,99,ROUNDUP(MAX('Proje girdileri'!AC20,ROUNDUP('Proje girdileri'!AD20/'Ayarlar'!$B$7,0))/(52/12),0)),11-6&lt;'Proje girdileri'!AH20),POWER(1-'Proje girdileri'!AT20,11-6),0)+IF(AND(7&gt;IF('Ayarlar'!$B$7&lt;=0,99,ROUNDUP(MAX('Proje girdileri'!AC20,ROUNDUP('Proje girdileri'!AD20/'Ayarlar'!$B$7,0))/(52/12),0)),11-7&lt;'Proje girdileri'!AH20),POWER(1-'Proje girdileri'!AT20,11-7),0)+IF(AND(8&gt;IF('Ayarlar'!$B$7&lt;=0,99,ROUNDUP(MAX('Proje girdileri'!AC20,ROUNDUP('Proje girdileri'!AD20/'Ayarlar'!$B$7,0))/(52/12),0)),11-8&lt;'Proje girdileri'!AH20),POWER(1-'Proje girdileri'!AT20,11-8),0)+IF(AND(9&gt;IF('Ayarlar'!$B$7&lt;=0,99,ROUNDUP(MAX('Proje girdileri'!AC20,ROUNDUP('Proje girdileri'!AD20/'Ayarlar'!$B$7,0))/(52/12),0)),11-9&lt;'Proje girdileri'!AH20),POWER(1-'Proje girdileri'!AT20,11-9),0)+IF(AND(10&gt;IF('Ayarlar'!$B$7&lt;=0,99,ROUNDUP(MAX('Proje girdileri'!AC20,ROUNDUP('Proje girdileri'!AD20/'Ayarlar'!$B$7,0))/(52/12),0)),11-10&lt;'Proje girdileri'!AH20),POWER(1-'Proje girdileri'!AT20,11-10),0)+IF(AND(11&gt;IF('Ayarlar'!$B$7&lt;=0,99,ROUNDUP(MAX('Proje girdileri'!AC20,ROUNDUP('Proje girdileri'!AD20/'Ayarlar'!$B$7,0))/(52/12),0)),11-11&lt;'Proje girdileri'!AH20),POWER(1-'Proje girdileri'!AT20,11-11),0)),IF(11&gt;IF('Ayarlar'!$B$7&lt;=0,99,ROUNDUP(MAX('Proje girdileri'!AC20,ROUNDUP('Proje girdileri'!AD20/'Ayarlar'!$B$7,0))/(52/12),0)),1,0))*('Proje girdileri'!Y20*(1-'Proje girdileri'!AA20-'Proje girdileri'!AB20)-'Proje girdileri'!Z20))-'Proje girdileri'!AJ20)</x:f>
        <x:v>0</x:v>
      </x:c>
      <x:c r="M20" s="24" t="n">
        <x:f>IF(12&gt;'Ayarlar'!$B$6,0,IF(MAX(0,'Ayarlar'!$B$6-IF('Ayarlar'!$B$7&lt;=0,99,ROUNDUP(MAX('Proje girdileri'!AC20,ROUNDUP('Proje girdileri'!AD20/'Ayarlar'!$B$7,0))/(52/12),0)))=0,0,'Hesap'!I20/MAX(0,'Ayarlar'!$B$6-IF('Ayarlar'!$B$7&lt;=0,99,ROUNDUP(MAX('Proje girdileri'!AC20,ROUNDUP('Proje girdileri'!AD20/'Ayarlar'!$B$7,0))/(52/12),0)))*IF('Proje girdileri'!C20="recurring",(IF(AND(1&gt;IF('Ayarlar'!$B$7&lt;=0,99,ROUNDUP(MAX('Proje girdileri'!AC20,ROUNDUP('Proje girdileri'!AD20/'Ayarlar'!$B$7,0))/(52/12),0)),12-1&lt;'Proje girdileri'!AH20),POWER(1-'Proje girdileri'!AT20,12-1),0)+IF(AND(2&gt;IF('Ayarlar'!$B$7&lt;=0,99,ROUNDUP(MAX('Proje girdileri'!AC20,ROUNDUP('Proje girdileri'!AD20/'Ayarlar'!$B$7,0))/(52/12),0)),12-2&lt;'Proje girdileri'!AH20),POWER(1-'Proje girdileri'!AT20,12-2),0)+IF(AND(3&gt;IF('Ayarlar'!$B$7&lt;=0,99,ROUNDUP(MAX('Proje girdileri'!AC20,ROUNDUP('Proje girdileri'!AD20/'Ayarlar'!$B$7,0))/(52/12),0)),12-3&lt;'Proje girdileri'!AH20),POWER(1-'Proje girdileri'!AT20,12-3),0)+IF(AND(4&gt;IF('Ayarlar'!$B$7&lt;=0,99,ROUNDUP(MAX('Proje girdileri'!AC20,ROUNDUP('Proje girdileri'!AD20/'Ayarlar'!$B$7,0))/(52/12),0)),12-4&lt;'Proje girdileri'!AH20),POWER(1-'Proje girdileri'!AT20,12-4),0)+IF(AND(5&gt;IF('Ayarlar'!$B$7&lt;=0,99,ROUNDUP(MAX('Proje girdileri'!AC20,ROUNDUP('Proje girdileri'!AD20/'Ayarlar'!$B$7,0))/(52/12),0)),12-5&lt;'Proje girdileri'!AH20),POWER(1-'Proje girdileri'!AT20,12-5),0)+IF(AND(6&gt;IF('Ayarlar'!$B$7&lt;=0,99,ROUNDUP(MAX('Proje girdileri'!AC20,ROUNDUP('Proje girdileri'!AD20/'Ayarlar'!$B$7,0))/(52/12),0)),12-6&lt;'Proje girdileri'!AH20),POWER(1-'Proje girdileri'!AT20,12-6),0)+IF(AND(7&gt;IF('Ayarlar'!$B$7&lt;=0,99,ROUNDUP(MAX('Proje girdileri'!AC20,ROUNDUP('Proje girdileri'!AD20/'Ayarlar'!$B$7,0))/(52/12),0)),12-7&lt;'Proje girdileri'!AH20),POWER(1-'Proje girdileri'!AT20,12-7),0)+IF(AND(8&gt;IF('Ayarlar'!$B$7&lt;=0,99,ROUNDUP(MAX('Proje girdileri'!AC20,ROUNDUP('Proje girdileri'!AD20/'Ayarlar'!$B$7,0))/(52/12),0)),12-8&lt;'Proje girdileri'!AH20),POWER(1-'Proje girdileri'!AT20,12-8),0)+IF(AND(9&gt;IF('Ayarlar'!$B$7&lt;=0,99,ROUNDUP(MAX('Proje girdileri'!AC20,ROUNDUP('Proje girdileri'!AD20/'Ayarlar'!$B$7,0))/(52/12),0)),12-9&lt;'Proje girdileri'!AH20),POWER(1-'Proje girdileri'!AT20,12-9),0)+IF(AND(10&gt;IF('Ayarlar'!$B$7&lt;=0,99,ROUNDUP(MAX('Proje girdileri'!AC20,ROUNDUP('Proje girdileri'!AD20/'Ayarlar'!$B$7,0))/(52/12),0)),12-10&lt;'Proje girdileri'!AH20),POWER(1-'Proje girdileri'!AT20,12-10),0)+IF(AND(11&gt;IF('Ayarlar'!$B$7&lt;=0,99,ROUNDUP(MAX('Proje girdileri'!AC20,ROUNDUP('Proje girdileri'!AD20/'Ayarlar'!$B$7,0))/(52/12),0)),12-11&lt;'Proje girdileri'!AH20),POWER(1-'Proje girdileri'!AT20,12-11),0)+IF(AND(12&gt;IF('Ayarlar'!$B$7&lt;=0,99,ROUNDUP(MAX('Proje girdileri'!AC20,ROUNDUP('Proje girdileri'!AD20/'Ayarlar'!$B$7,0))/(52/12),0)),12-12&lt;'Proje girdileri'!AH20),POWER(1-'Proje girdileri'!AT20,12-12),0)),IF(12&gt;IF('Ayarlar'!$B$7&lt;=0,99,ROUNDUP(MAX('Proje girdileri'!AC20,ROUNDUP('Proje girdileri'!AD20/'Ayarlar'!$B$7,0))/(52/12),0)),1,0))*('Proje girdileri'!Y20*(1-'Proje girdileri'!AA20-'Proje girdileri'!AB20)-'Proje girdileri'!Z20))-'Proje girdileri'!AJ20)</x:f>
        <x:v>0</x:v>
      </x:c>
      <x:c r="N20" s="24" t="n">
        <x:f>SUM(B20:M20)</x:f>
        <x:v>373.4999999999999</x:v>
      </x:c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</x:row>
    <x:row r="21" ht="24" customHeight="1">
      <x:c r="A21" s="2" t="str">
        <x:f>'Hesap'!B21</x:f>
        <x:v>DestekTeşvik</x:v>
      </x:c>
      <x:c r="B21" s="24" t="n">
        <x:f>IF(1&gt;'Ayarlar'!$B$6,0,IF(MAX(0,'Ayarlar'!$B$6-IF('Ayarlar'!$B$7&lt;=0,99,ROUNDUP(MAX('Proje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girdileri'!AD21/'Ayarlar'!$B$7,0))/(52/12),0)),1-1&lt;'Proje girdileri'!AH21),POWER(1-'Proje girdileri'!AT21,1-1),0)),IF(1&gt;IF('Ayarlar'!$B$7&lt;=0,99,ROUNDUP(MAX('Proje girdileri'!AC21,ROUNDUP('Proje girdileri'!AD21/'Ayarlar'!$B$7,0))/(52/12),0)),1,0))*('Proje girdileri'!Y21*(1-'Proje girdileri'!AA21-'Proje girdileri'!AB21)-'Proje girdileri'!Z21))-'Proje girdileri'!AJ21-'Proje girdileri'!AI21)</x:f>
        <x:v>-110</x:v>
      </x:c>
      <x:c r="C21" s="24" t="n">
        <x:f>IF(2&gt;'Ayarlar'!$B$6,0,IF(MAX(0,'Ayarlar'!$B$6-IF('Ayarlar'!$B$7&lt;=0,99,ROUNDUP(MAX('Proje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girdileri'!AD21/'Ayarlar'!$B$7,0))/(52/12),0)),2-1&lt;'Proje girdileri'!AH21),POWER(1-'Proje girdileri'!AT21,2-1),0)+IF(AND(2&gt;IF('Ayarlar'!$B$7&lt;=0,99,ROUNDUP(MAX('Proje girdileri'!AC21,ROUNDUP('Proje girdileri'!AD21/'Ayarlar'!$B$7,0))/(52/12),0)),2-2&lt;'Proje girdileri'!AH21),POWER(1-'Proje girdileri'!AT21,2-2),0)),IF(2&gt;IF('Ayarlar'!$B$7&lt;=0,99,ROUNDUP(MAX('Proje girdileri'!AC21,ROUNDUP('Proje girdileri'!AD21/'Ayarlar'!$B$7,0))/(52/12),0)),1,0))*('Proje girdileri'!Y21*(1-'Proje girdileri'!AA21-'Proje girdileri'!AB21)-'Proje girdileri'!Z21))-'Proje girdileri'!AJ21)</x:f>
        <x:v>-10</x:v>
      </x:c>
      <x:c r="D21" s="24" t="n">
        <x:f>IF(3&gt;'Ayarlar'!$B$6,0,IF(MAX(0,'Ayarlar'!$B$6-IF('Ayarlar'!$B$7&lt;=0,99,ROUNDUP(MAX('Proje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girdileri'!AD21/'Ayarlar'!$B$7,0))/(52/12),0)),3-1&lt;'Proje girdileri'!AH21),POWER(1-'Proje girdileri'!AT21,3-1),0)+IF(AND(2&gt;IF('Ayarlar'!$B$7&lt;=0,99,ROUNDUP(MAX('Proje girdileri'!AC21,ROUNDUP('Proje girdileri'!AD21/'Ayarlar'!$B$7,0))/(52/12),0)),3-2&lt;'Proje girdileri'!AH21),POWER(1-'Proje girdileri'!AT21,3-2),0)+IF(AND(3&gt;IF('Ayarlar'!$B$7&lt;=0,99,ROUNDUP(MAX('Proje girdileri'!AC21,ROUNDUP('Proje girdileri'!AD21/'Ayarlar'!$B$7,0))/(52/12),0)),3-3&lt;'Proje girdileri'!AH21),POWER(1-'Proje girdileri'!AT21,3-3),0)),IF(3&gt;IF('Ayarlar'!$B$7&lt;=0,99,ROUNDUP(MAX('Proje girdileri'!AC21,ROUNDUP('Proje girdileri'!AD21/'Ayarlar'!$B$7,0))/(52/12),0)),1,0))*('Proje girdileri'!Y21*(1-'Proje girdileri'!AA21-'Proje girdileri'!AB21)-'Proje girdileri'!Z21))-'Proje girdileri'!AJ21)</x:f>
        <x:v>468.79999999999995</x:v>
      </x:c>
      <x:c r="E21" s="24" t="n">
        <x:f>IF(4&gt;'Ayarlar'!$B$6,0,IF(MAX(0,'Ayarlar'!$B$6-IF('Ayarlar'!$B$7&lt;=0,99,ROUNDUP(MAX('Proje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girdileri'!AD21/'Ayarlar'!$B$7,0))/(52/12),0)),4-1&lt;'Proje girdileri'!AH21),POWER(1-'Proje girdileri'!AT21,4-1),0)+IF(AND(2&gt;IF('Ayarlar'!$B$7&lt;=0,99,ROUNDUP(MAX('Proje girdileri'!AC21,ROUNDUP('Proje girdileri'!AD21/'Ayarlar'!$B$7,0))/(52/12),0)),4-2&lt;'Proje girdileri'!AH21),POWER(1-'Proje girdileri'!AT21,4-2),0)+IF(AND(3&gt;IF('Ayarlar'!$B$7&lt;=0,99,ROUNDUP(MAX('Proje girdileri'!AC21,ROUNDUP('Proje girdileri'!AD21/'Ayarlar'!$B$7,0))/(52/12),0)),4-3&lt;'Proje girdileri'!AH21),POWER(1-'Proje girdileri'!AT21,4-3),0)+IF(AND(4&gt;IF('Ayarlar'!$B$7&lt;=0,99,ROUNDUP(MAX('Proje girdileri'!AC21,ROUNDUP('Proje girdileri'!AD21/'Ayarlar'!$B$7,0))/(52/12),0)),4-4&lt;'Proje girdileri'!AH21),POWER(1-'Proje girdileri'!AT21,4-4),0)),IF(4&gt;IF('Ayarlar'!$B$7&lt;=0,99,ROUNDUP(MAX('Proje girdileri'!AC21,ROUNDUP('Proje girdileri'!AD21/'Ayarlar'!$B$7,0))/(52/12),0)),1,0))*('Proje girdileri'!Y21*(1-'Proje girdileri'!AA21-'Proje girdileri'!AB21)-'Proje girdileri'!Z21))-'Proje girdileri'!AJ21)</x:f>
        <x:v>468.79999999999995</x:v>
      </x:c>
      <x:c r="F21" s="24" t="n">
        <x:f>IF(5&gt;'Ayarlar'!$B$6,0,IF(MAX(0,'Ayarlar'!$B$6-IF('Ayarlar'!$B$7&lt;=0,99,ROUNDUP(MAX('Proje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girdileri'!AD21/'Ayarlar'!$B$7,0))/(52/12),0)),5-1&lt;'Proje girdileri'!AH21),POWER(1-'Proje girdileri'!AT21,5-1),0)+IF(AND(2&gt;IF('Ayarlar'!$B$7&lt;=0,99,ROUNDUP(MAX('Proje girdileri'!AC21,ROUNDUP('Proje girdileri'!AD21/'Ayarlar'!$B$7,0))/(52/12),0)),5-2&lt;'Proje girdileri'!AH21),POWER(1-'Proje girdileri'!AT21,5-2),0)+IF(AND(3&gt;IF('Ayarlar'!$B$7&lt;=0,99,ROUNDUP(MAX('Proje girdileri'!AC21,ROUNDUP('Proje girdileri'!AD21/'Ayarlar'!$B$7,0))/(52/12),0)),5-3&lt;'Proje girdileri'!AH21),POWER(1-'Proje girdileri'!AT21,5-3),0)+IF(AND(4&gt;IF('Ayarlar'!$B$7&lt;=0,99,ROUNDUP(MAX('Proje girdileri'!AC21,ROUNDUP('Proje girdileri'!AD21/'Ayarlar'!$B$7,0))/(52/12),0)),5-4&lt;'Proje girdileri'!AH21),POWER(1-'Proje girdileri'!AT21,5-4),0)+IF(AND(5&gt;IF('Ayarlar'!$B$7&lt;=0,99,ROUNDUP(MAX('Proje girdileri'!AC21,ROUNDUP('Proje girdileri'!AD21/'Ayarlar'!$B$7,0))/(52/12),0)),5-5&lt;'Proje girdileri'!AH21),POWER(1-'Proje girdileri'!AT21,5-5),0)),IF(5&gt;IF('Ayarlar'!$B$7&lt;=0,99,ROUNDUP(MAX('Proje girdileri'!AC21,ROUNDUP('Proje girdileri'!AD21/'Ayarlar'!$B$7,0))/(52/12),0)),1,0))*('Proje girdileri'!Y21*(1-'Proje girdileri'!AA21-'Proje girdileri'!AB21)-'Proje girdileri'!Z21))-'Proje girdileri'!AJ21)</x:f>
        <x:v>468.79999999999995</x:v>
      </x:c>
      <x:c r="G21" s="24" t="n">
        <x:f>IF(6&gt;'Ayarlar'!$B$6,0,IF(MAX(0,'Ayarlar'!$B$6-IF('Ayarlar'!$B$7&lt;=0,99,ROUNDUP(MAX('Proje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girdileri'!AD21/'Ayarlar'!$B$7,0))/(52/12),0)),6-1&lt;'Proje girdileri'!AH21),POWER(1-'Proje girdileri'!AT21,6-1),0)+IF(AND(2&gt;IF('Ayarlar'!$B$7&lt;=0,99,ROUNDUP(MAX('Proje girdileri'!AC21,ROUNDUP('Proje girdileri'!AD21/'Ayarlar'!$B$7,0))/(52/12),0)),6-2&lt;'Proje girdileri'!AH21),POWER(1-'Proje girdileri'!AT21,6-2),0)+IF(AND(3&gt;IF('Ayarlar'!$B$7&lt;=0,99,ROUNDUP(MAX('Proje girdileri'!AC21,ROUNDUP('Proje girdileri'!AD21/'Ayarlar'!$B$7,0))/(52/12),0)),6-3&lt;'Proje girdileri'!AH21),POWER(1-'Proje girdileri'!AT21,6-3),0)+IF(AND(4&gt;IF('Ayarlar'!$B$7&lt;=0,99,ROUNDUP(MAX('Proje girdileri'!AC21,ROUNDUP('Proje girdileri'!AD21/'Ayarlar'!$B$7,0))/(52/12),0)),6-4&lt;'Proje girdileri'!AH21),POWER(1-'Proje girdileri'!AT21,6-4),0)+IF(AND(5&gt;IF('Ayarlar'!$B$7&lt;=0,99,ROUNDUP(MAX('Proje girdileri'!AC21,ROUNDUP('Proje girdileri'!AD21/'Ayarlar'!$B$7,0))/(52/12),0)),6-5&lt;'Proje girdileri'!AH21),POWER(1-'Proje girdileri'!AT21,6-5),0)+IF(AND(6&gt;IF('Ayarlar'!$B$7&lt;=0,99,ROUNDUP(MAX('Proje girdileri'!AC21,ROUNDUP('Proje girdileri'!AD21/'Ayarlar'!$B$7,0))/(52/12),0)),6-6&lt;'Proje girdileri'!AH21),POWER(1-'Proje girdileri'!AT21,6-6),0)),IF(6&gt;IF('Ayarlar'!$B$7&lt;=0,99,ROUNDUP(MAX('Proje girdileri'!AC21,ROUNDUP('Proje girdileri'!AD21/'Ayarlar'!$B$7,0))/(52/12),0)),1,0))*('Proje girdileri'!Y21*(1-'Proje girdileri'!AA21-'Proje girdileri'!AB21)-'Proje girdileri'!Z21))-'Proje girdileri'!AJ21)</x:f>
        <x:v>468.79999999999995</x:v>
      </x:c>
      <x:c r="H21" s="24" t="n">
        <x:f>IF(7&gt;'Ayarlar'!$B$6,0,IF(MAX(0,'Ayarlar'!$B$6-IF('Ayarlar'!$B$7&lt;=0,99,ROUNDUP(MAX('Proje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girdileri'!AD21/'Ayarlar'!$B$7,0))/(52/12),0)),7-1&lt;'Proje girdileri'!AH21),POWER(1-'Proje girdileri'!AT21,7-1),0)+IF(AND(2&gt;IF('Ayarlar'!$B$7&lt;=0,99,ROUNDUP(MAX('Proje girdileri'!AC21,ROUNDUP('Proje girdileri'!AD21/'Ayarlar'!$B$7,0))/(52/12),0)),7-2&lt;'Proje girdileri'!AH21),POWER(1-'Proje girdileri'!AT21,7-2),0)+IF(AND(3&gt;IF('Ayarlar'!$B$7&lt;=0,99,ROUNDUP(MAX('Proje girdileri'!AC21,ROUNDUP('Proje girdileri'!AD21/'Ayarlar'!$B$7,0))/(52/12),0)),7-3&lt;'Proje girdileri'!AH21),POWER(1-'Proje girdileri'!AT21,7-3),0)+IF(AND(4&gt;IF('Ayarlar'!$B$7&lt;=0,99,ROUNDUP(MAX('Proje girdileri'!AC21,ROUNDUP('Proje girdileri'!AD21/'Ayarlar'!$B$7,0))/(52/12),0)),7-4&lt;'Proje girdileri'!AH21),POWER(1-'Proje girdileri'!AT21,7-4),0)+IF(AND(5&gt;IF('Ayarlar'!$B$7&lt;=0,99,ROUNDUP(MAX('Proje girdileri'!AC21,ROUNDUP('Proje girdileri'!AD21/'Ayarlar'!$B$7,0))/(52/12),0)),7-5&lt;'Proje girdileri'!AH21),POWER(1-'Proje girdileri'!AT21,7-5),0)+IF(AND(6&gt;IF('Ayarlar'!$B$7&lt;=0,99,ROUNDUP(MAX('Proje girdileri'!AC21,ROUNDUP('Proje girdileri'!AD21/'Ayarlar'!$B$7,0))/(52/12),0)),7-6&lt;'Proje girdileri'!AH21),POWER(1-'Proje girdileri'!AT21,7-6),0)+IF(AND(7&gt;IF('Ayarlar'!$B$7&lt;=0,99,ROUNDUP(MAX('Proje girdileri'!AC21,ROUNDUP('Proje girdileri'!AD21/'Ayarlar'!$B$7,0))/(52/12),0)),7-7&lt;'Proje girdileri'!AH21),POWER(1-'Proje girdileri'!AT21,7-7),0)),IF(7&gt;IF('Ayarlar'!$B$7&lt;=0,99,ROUNDUP(MAX('Proje girdileri'!AC21,ROUNDUP('Proje girdileri'!AD21/'Ayarlar'!$B$7,0))/(52/12),0)),1,0))*('Proje girdileri'!Y21*(1-'Proje girdileri'!AA21-'Proje girdileri'!AB21)-'Proje girdileri'!Z21))-'Proje girdileri'!AJ21)</x:f>
        <x:v>0</x:v>
      </x:c>
      <x:c r="I21" s="24" t="n">
        <x:f>IF(8&gt;'Ayarlar'!$B$6,0,IF(MAX(0,'Ayarlar'!$B$6-IF('Ayarlar'!$B$7&lt;=0,99,ROUNDUP(MAX('Proje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girdileri'!AD21/'Ayarlar'!$B$7,0))/(52/12),0)),8-1&lt;'Proje girdileri'!AH21),POWER(1-'Proje girdileri'!AT21,8-1),0)+IF(AND(2&gt;IF('Ayarlar'!$B$7&lt;=0,99,ROUNDUP(MAX('Proje girdileri'!AC21,ROUNDUP('Proje girdileri'!AD21/'Ayarlar'!$B$7,0))/(52/12),0)),8-2&lt;'Proje girdileri'!AH21),POWER(1-'Proje girdileri'!AT21,8-2),0)+IF(AND(3&gt;IF('Ayarlar'!$B$7&lt;=0,99,ROUNDUP(MAX('Proje girdileri'!AC21,ROUNDUP('Proje girdileri'!AD21/'Ayarlar'!$B$7,0))/(52/12),0)),8-3&lt;'Proje girdileri'!AH21),POWER(1-'Proje girdileri'!AT21,8-3),0)+IF(AND(4&gt;IF('Ayarlar'!$B$7&lt;=0,99,ROUNDUP(MAX('Proje girdileri'!AC21,ROUNDUP('Proje girdileri'!AD21/'Ayarlar'!$B$7,0))/(52/12),0)),8-4&lt;'Proje girdileri'!AH21),POWER(1-'Proje girdileri'!AT21,8-4),0)+IF(AND(5&gt;IF('Ayarlar'!$B$7&lt;=0,99,ROUNDUP(MAX('Proje girdileri'!AC21,ROUNDUP('Proje girdileri'!AD21/'Ayarlar'!$B$7,0))/(52/12),0)),8-5&lt;'Proje girdileri'!AH21),POWER(1-'Proje girdileri'!AT21,8-5),0)+IF(AND(6&gt;IF('Ayarlar'!$B$7&lt;=0,99,ROUNDUP(MAX('Proje girdileri'!AC21,ROUNDUP('Proje girdileri'!AD21/'Ayarlar'!$B$7,0))/(52/12),0)),8-6&lt;'Proje girdileri'!AH21),POWER(1-'Proje girdileri'!AT21,8-6),0)+IF(AND(7&gt;IF('Ayarlar'!$B$7&lt;=0,99,ROUNDUP(MAX('Proje girdileri'!AC21,ROUNDUP('Proje girdileri'!AD21/'Ayarlar'!$B$7,0))/(52/12),0)),8-7&lt;'Proje girdileri'!AH21),POWER(1-'Proje girdileri'!AT21,8-7),0)+IF(AND(8&gt;IF('Ayarlar'!$B$7&lt;=0,99,ROUNDUP(MAX('Proje girdileri'!AC21,ROUNDUP('Proje girdileri'!AD21/'Ayarlar'!$B$7,0))/(52/12),0)),8-8&lt;'Proje girdileri'!AH21),POWER(1-'Proje girdileri'!AT21,8-8),0)),IF(8&gt;IF('Ayarlar'!$B$7&lt;=0,99,ROUNDUP(MAX('Proje girdileri'!AC21,ROUNDUP('Proje girdileri'!AD21/'Ayarlar'!$B$7,0))/(52/12),0)),1,0))*('Proje girdileri'!Y21*(1-'Proje girdileri'!AA21-'Proje girdileri'!AB21)-'Proje girdileri'!Z21))-'Proje girdileri'!AJ21)</x:f>
        <x:v>0</x:v>
      </x:c>
      <x:c r="J21" s="24" t="n">
        <x:f>IF(9&gt;'Ayarlar'!$B$6,0,IF(MAX(0,'Ayarlar'!$B$6-IF('Ayarlar'!$B$7&lt;=0,99,ROUNDUP(MAX('Proje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girdileri'!AD21/'Ayarlar'!$B$7,0))/(52/12),0)),9-1&lt;'Proje girdileri'!AH21),POWER(1-'Proje girdileri'!AT21,9-1),0)+IF(AND(2&gt;IF('Ayarlar'!$B$7&lt;=0,99,ROUNDUP(MAX('Proje girdileri'!AC21,ROUNDUP('Proje girdileri'!AD21/'Ayarlar'!$B$7,0))/(52/12),0)),9-2&lt;'Proje girdileri'!AH21),POWER(1-'Proje girdileri'!AT21,9-2),0)+IF(AND(3&gt;IF('Ayarlar'!$B$7&lt;=0,99,ROUNDUP(MAX('Proje girdileri'!AC21,ROUNDUP('Proje girdileri'!AD21/'Ayarlar'!$B$7,0))/(52/12),0)),9-3&lt;'Proje girdileri'!AH21),POWER(1-'Proje girdileri'!AT21,9-3),0)+IF(AND(4&gt;IF('Ayarlar'!$B$7&lt;=0,99,ROUNDUP(MAX('Proje girdileri'!AC21,ROUNDUP('Proje girdileri'!AD21/'Ayarlar'!$B$7,0))/(52/12),0)),9-4&lt;'Proje girdileri'!AH21),POWER(1-'Proje girdileri'!AT21,9-4),0)+IF(AND(5&gt;IF('Ayarlar'!$B$7&lt;=0,99,ROUNDUP(MAX('Proje girdileri'!AC21,ROUNDUP('Proje girdileri'!AD21/'Ayarlar'!$B$7,0))/(52/12),0)),9-5&lt;'Proje girdileri'!AH21),POWER(1-'Proje girdileri'!AT21,9-5),0)+IF(AND(6&gt;IF('Ayarlar'!$B$7&lt;=0,99,ROUNDUP(MAX('Proje girdileri'!AC21,ROUNDUP('Proje girdileri'!AD21/'Ayarlar'!$B$7,0))/(52/12),0)),9-6&lt;'Proje girdileri'!AH21),POWER(1-'Proje girdileri'!AT21,9-6),0)+IF(AND(7&gt;IF('Ayarlar'!$B$7&lt;=0,99,ROUNDUP(MAX('Proje girdileri'!AC21,ROUNDUP('Proje girdileri'!AD21/'Ayarlar'!$B$7,0))/(52/12),0)),9-7&lt;'Proje girdileri'!AH21),POWER(1-'Proje girdileri'!AT21,9-7),0)+IF(AND(8&gt;IF('Ayarlar'!$B$7&lt;=0,99,ROUNDUP(MAX('Proje girdileri'!AC21,ROUNDUP('Proje girdileri'!AD21/'Ayarlar'!$B$7,0))/(52/12),0)),9-8&lt;'Proje girdileri'!AH21),POWER(1-'Proje girdileri'!AT21,9-8),0)+IF(AND(9&gt;IF('Ayarlar'!$B$7&lt;=0,99,ROUNDUP(MAX('Proje girdileri'!AC21,ROUNDUP('Proje girdileri'!AD21/'Ayarlar'!$B$7,0))/(52/12),0)),9-9&lt;'Proje girdileri'!AH21),POWER(1-'Proje girdileri'!AT21,9-9),0)),IF(9&gt;IF('Ayarlar'!$B$7&lt;=0,99,ROUNDUP(MAX('Proje girdileri'!AC21,ROUNDUP('Proje girdileri'!AD21/'Ayarlar'!$B$7,0))/(52/12),0)),1,0))*('Proje girdileri'!Y21*(1-'Proje girdileri'!AA21-'Proje girdileri'!AB21)-'Proje girdileri'!Z21))-'Proje girdileri'!AJ21)</x:f>
        <x:v>0</x:v>
      </x:c>
      <x:c r="K21" s="24" t="n">
        <x:f>IF(10&gt;'Ayarlar'!$B$6,0,IF(MAX(0,'Ayarlar'!$B$6-IF('Ayarlar'!$B$7&lt;=0,99,ROUNDUP(MAX('Proje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girdileri'!AD21/'Ayarlar'!$B$7,0))/(52/12),0)),10-1&lt;'Proje girdileri'!AH21),POWER(1-'Proje girdileri'!AT21,10-1),0)+IF(AND(2&gt;IF('Ayarlar'!$B$7&lt;=0,99,ROUNDUP(MAX('Proje girdileri'!AC21,ROUNDUP('Proje girdileri'!AD21/'Ayarlar'!$B$7,0))/(52/12),0)),10-2&lt;'Proje girdileri'!AH21),POWER(1-'Proje girdileri'!AT21,10-2),0)+IF(AND(3&gt;IF('Ayarlar'!$B$7&lt;=0,99,ROUNDUP(MAX('Proje girdileri'!AC21,ROUNDUP('Proje girdileri'!AD21/'Ayarlar'!$B$7,0))/(52/12),0)),10-3&lt;'Proje girdileri'!AH21),POWER(1-'Proje girdileri'!AT21,10-3),0)+IF(AND(4&gt;IF('Ayarlar'!$B$7&lt;=0,99,ROUNDUP(MAX('Proje girdileri'!AC21,ROUNDUP('Proje girdileri'!AD21/'Ayarlar'!$B$7,0))/(52/12),0)),10-4&lt;'Proje girdileri'!AH21),POWER(1-'Proje girdileri'!AT21,10-4),0)+IF(AND(5&gt;IF('Ayarlar'!$B$7&lt;=0,99,ROUNDUP(MAX('Proje girdileri'!AC21,ROUNDUP('Proje girdileri'!AD21/'Ayarlar'!$B$7,0))/(52/12),0)),10-5&lt;'Proje girdileri'!AH21),POWER(1-'Proje girdileri'!AT21,10-5),0)+IF(AND(6&gt;IF('Ayarlar'!$B$7&lt;=0,99,ROUNDUP(MAX('Proje girdileri'!AC21,ROUNDUP('Proje girdileri'!AD21/'Ayarlar'!$B$7,0))/(52/12),0)),10-6&lt;'Proje girdileri'!AH21),POWER(1-'Proje girdileri'!AT21,10-6),0)+IF(AND(7&gt;IF('Ayarlar'!$B$7&lt;=0,99,ROUNDUP(MAX('Proje girdileri'!AC21,ROUNDUP('Proje girdileri'!AD21/'Ayarlar'!$B$7,0))/(52/12),0)),10-7&lt;'Proje girdileri'!AH21),POWER(1-'Proje girdileri'!AT21,10-7),0)+IF(AND(8&gt;IF('Ayarlar'!$B$7&lt;=0,99,ROUNDUP(MAX('Proje girdileri'!AC21,ROUNDUP('Proje girdileri'!AD21/'Ayarlar'!$B$7,0))/(52/12),0)),10-8&lt;'Proje girdileri'!AH21),POWER(1-'Proje girdileri'!AT21,10-8),0)+IF(AND(9&gt;IF('Ayarlar'!$B$7&lt;=0,99,ROUNDUP(MAX('Proje girdileri'!AC21,ROUNDUP('Proje girdileri'!AD21/'Ayarlar'!$B$7,0))/(52/12),0)),10-9&lt;'Proje girdileri'!AH21),POWER(1-'Proje girdileri'!AT21,10-9),0)+IF(AND(10&gt;IF('Ayarlar'!$B$7&lt;=0,99,ROUNDUP(MAX('Proje girdileri'!AC21,ROUNDUP('Proje girdileri'!AD21/'Ayarlar'!$B$7,0))/(52/12),0)),10-10&lt;'Proje girdileri'!AH21),POWER(1-'Proje girdileri'!AT21,10-10),0)),IF(10&gt;IF('Ayarlar'!$B$7&lt;=0,99,ROUNDUP(MAX('Proje girdileri'!AC21,ROUNDUP('Proje girdileri'!AD21/'Ayarlar'!$B$7,0))/(52/12),0)),1,0))*('Proje girdileri'!Y21*(1-'Proje girdileri'!AA21-'Proje girdileri'!AB21)-'Proje girdileri'!Z21))-'Proje girdileri'!AJ21)</x:f>
        <x:v>0</x:v>
      </x:c>
      <x:c r="L21" s="24" t="n">
        <x:f>IF(11&gt;'Ayarlar'!$B$6,0,IF(MAX(0,'Ayarlar'!$B$6-IF('Ayarlar'!$B$7&lt;=0,99,ROUNDUP(MAX('Proje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girdileri'!AD21/'Ayarlar'!$B$7,0))/(52/12),0)),11-1&lt;'Proje girdileri'!AH21),POWER(1-'Proje girdileri'!AT21,11-1),0)+IF(AND(2&gt;IF('Ayarlar'!$B$7&lt;=0,99,ROUNDUP(MAX('Proje girdileri'!AC21,ROUNDUP('Proje girdileri'!AD21/'Ayarlar'!$B$7,0))/(52/12),0)),11-2&lt;'Proje girdileri'!AH21),POWER(1-'Proje girdileri'!AT21,11-2),0)+IF(AND(3&gt;IF('Ayarlar'!$B$7&lt;=0,99,ROUNDUP(MAX('Proje girdileri'!AC21,ROUNDUP('Proje girdileri'!AD21/'Ayarlar'!$B$7,0))/(52/12),0)),11-3&lt;'Proje girdileri'!AH21),POWER(1-'Proje girdileri'!AT21,11-3),0)+IF(AND(4&gt;IF('Ayarlar'!$B$7&lt;=0,99,ROUNDUP(MAX('Proje girdileri'!AC21,ROUNDUP('Proje girdileri'!AD21/'Ayarlar'!$B$7,0))/(52/12),0)),11-4&lt;'Proje girdileri'!AH21),POWER(1-'Proje girdileri'!AT21,11-4),0)+IF(AND(5&gt;IF('Ayarlar'!$B$7&lt;=0,99,ROUNDUP(MAX('Proje girdileri'!AC21,ROUNDUP('Proje girdileri'!AD21/'Ayarlar'!$B$7,0))/(52/12),0)),11-5&lt;'Proje girdileri'!AH21),POWER(1-'Proje girdileri'!AT21,11-5),0)+IF(AND(6&gt;IF('Ayarlar'!$B$7&lt;=0,99,ROUNDUP(MAX('Proje girdileri'!AC21,ROUNDUP('Proje girdileri'!AD21/'Ayarlar'!$B$7,0))/(52/12),0)),11-6&lt;'Proje girdileri'!AH21),POWER(1-'Proje girdileri'!AT21,11-6),0)+IF(AND(7&gt;IF('Ayarlar'!$B$7&lt;=0,99,ROUNDUP(MAX('Proje girdileri'!AC21,ROUNDUP('Proje girdileri'!AD21/'Ayarlar'!$B$7,0))/(52/12),0)),11-7&lt;'Proje girdileri'!AH21),POWER(1-'Proje girdileri'!AT21,11-7),0)+IF(AND(8&gt;IF('Ayarlar'!$B$7&lt;=0,99,ROUNDUP(MAX('Proje girdileri'!AC21,ROUNDUP('Proje girdileri'!AD21/'Ayarlar'!$B$7,0))/(52/12),0)),11-8&lt;'Proje girdileri'!AH21),POWER(1-'Proje girdileri'!AT21,11-8),0)+IF(AND(9&gt;IF('Ayarlar'!$B$7&lt;=0,99,ROUNDUP(MAX('Proje girdileri'!AC21,ROUNDUP('Proje girdileri'!AD21/'Ayarlar'!$B$7,0))/(52/12),0)),11-9&lt;'Proje girdileri'!AH21),POWER(1-'Proje girdileri'!AT21,11-9),0)+IF(AND(10&gt;IF('Ayarlar'!$B$7&lt;=0,99,ROUNDUP(MAX('Proje girdileri'!AC21,ROUNDUP('Proje girdileri'!AD21/'Ayarlar'!$B$7,0))/(52/12),0)),11-10&lt;'Proje girdileri'!AH21),POWER(1-'Proje girdileri'!AT21,11-10),0)+IF(AND(11&gt;IF('Ayarlar'!$B$7&lt;=0,99,ROUNDUP(MAX('Proje girdileri'!AC21,ROUNDUP('Proje girdileri'!AD21/'Ayarlar'!$B$7,0))/(52/12),0)),11-11&lt;'Proje girdileri'!AH21),POWER(1-'Proje girdileri'!AT21,11-11),0)),IF(11&gt;IF('Ayarlar'!$B$7&lt;=0,99,ROUNDUP(MAX('Proje girdileri'!AC21,ROUNDUP('Proje girdileri'!AD21/'Ayarlar'!$B$7,0))/(52/12),0)),1,0))*('Proje girdileri'!Y21*(1-'Proje girdileri'!AA21-'Proje girdileri'!AB21)-'Proje girdileri'!Z21))-'Proje girdileri'!AJ21)</x:f>
        <x:v>0</x:v>
      </x:c>
      <x:c r="M21" s="24" t="n">
        <x:f>IF(12&gt;'Ayarlar'!$B$6,0,IF(MAX(0,'Ayarlar'!$B$6-IF('Ayarlar'!$B$7&lt;=0,99,ROUNDUP(MAX('Proje girdileri'!AC21,ROUNDUP('Proje girdileri'!AD21/'Ayarlar'!$B$7,0))/(52/12),0)))=0,0,'Hesap'!I21/MAX(0,'Ayarlar'!$B$6-IF('Ayarlar'!$B$7&lt;=0,99,ROUNDUP(MAX('Proje girdileri'!AC21,ROUNDUP('Proje girdileri'!AD21/'Ayarlar'!$B$7,0))/(52/12),0)))*IF('Proje girdileri'!C21="recurring",(IF(AND(1&gt;IF('Ayarlar'!$B$7&lt;=0,99,ROUNDUP(MAX('Proje girdileri'!AC21,ROUNDUP('Proje girdileri'!AD21/'Ayarlar'!$B$7,0))/(52/12),0)),12-1&lt;'Proje girdileri'!AH21),POWER(1-'Proje girdileri'!AT21,12-1),0)+IF(AND(2&gt;IF('Ayarlar'!$B$7&lt;=0,99,ROUNDUP(MAX('Proje girdileri'!AC21,ROUNDUP('Proje girdileri'!AD21/'Ayarlar'!$B$7,0))/(52/12),0)),12-2&lt;'Proje girdileri'!AH21),POWER(1-'Proje girdileri'!AT21,12-2),0)+IF(AND(3&gt;IF('Ayarlar'!$B$7&lt;=0,99,ROUNDUP(MAX('Proje girdileri'!AC21,ROUNDUP('Proje girdileri'!AD21/'Ayarlar'!$B$7,0))/(52/12),0)),12-3&lt;'Proje girdileri'!AH21),POWER(1-'Proje girdileri'!AT21,12-3),0)+IF(AND(4&gt;IF('Ayarlar'!$B$7&lt;=0,99,ROUNDUP(MAX('Proje girdileri'!AC21,ROUNDUP('Proje girdileri'!AD21/'Ayarlar'!$B$7,0))/(52/12),0)),12-4&lt;'Proje girdileri'!AH21),POWER(1-'Proje girdileri'!AT21,12-4),0)+IF(AND(5&gt;IF('Ayarlar'!$B$7&lt;=0,99,ROUNDUP(MAX('Proje girdileri'!AC21,ROUNDUP('Proje girdileri'!AD21/'Ayarlar'!$B$7,0))/(52/12),0)),12-5&lt;'Proje girdileri'!AH21),POWER(1-'Proje girdileri'!AT21,12-5),0)+IF(AND(6&gt;IF('Ayarlar'!$B$7&lt;=0,99,ROUNDUP(MAX('Proje girdileri'!AC21,ROUNDUP('Proje girdileri'!AD21/'Ayarlar'!$B$7,0))/(52/12),0)),12-6&lt;'Proje girdileri'!AH21),POWER(1-'Proje girdileri'!AT21,12-6),0)+IF(AND(7&gt;IF('Ayarlar'!$B$7&lt;=0,99,ROUNDUP(MAX('Proje girdileri'!AC21,ROUNDUP('Proje girdileri'!AD21/'Ayarlar'!$B$7,0))/(52/12),0)),12-7&lt;'Proje girdileri'!AH21),POWER(1-'Proje girdileri'!AT21,12-7),0)+IF(AND(8&gt;IF('Ayarlar'!$B$7&lt;=0,99,ROUNDUP(MAX('Proje girdileri'!AC21,ROUNDUP('Proje girdileri'!AD21/'Ayarlar'!$B$7,0))/(52/12),0)),12-8&lt;'Proje girdileri'!AH21),POWER(1-'Proje girdileri'!AT21,12-8),0)+IF(AND(9&gt;IF('Ayarlar'!$B$7&lt;=0,99,ROUNDUP(MAX('Proje girdileri'!AC21,ROUNDUP('Proje girdileri'!AD21/'Ayarlar'!$B$7,0))/(52/12),0)),12-9&lt;'Proje girdileri'!AH21),POWER(1-'Proje girdileri'!AT21,12-9),0)+IF(AND(10&gt;IF('Ayarlar'!$B$7&lt;=0,99,ROUNDUP(MAX('Proje girdileri'!AC21,ROUNDUP('Proje girdileri'!AD21/'Ayarlar'!$B$7,0))/(52/12),0)),12-10&lt;'Proje girdileri'!AH21),POWER(1-'Proje girdileri'!AT21,12-10),0)+IF(AND(11&gt;IF('Ayarlar'!$B$7&lt;=0,99,ROUNDUP(MAX('Proje girdileri'!AC21,ROUNDUP('Proje girdileri'!AD21/'Ayarlar'!$B$7,0))/(52/12),0)),12-11&lt;'Proje girdileri'!AH21),POWER(1-'Proje girdileri'!AT21,12-11),0)+IF(AND(12&gt;IF('Ayarlar'!$B$7&lt;=0,99,ROUNDUP(MAX('Proje girdileri'!AC21,ROUNDUP('Proje girdileri'!AD21/'Ayarlar'!$B$7,0))/(52/12),0)),12-12&lt;'Proje girdileri'!AH21),POWER(1-'Proje girdileri'!AT21,12-12),0)),IF(12&gt;IF('Ayarlar'!$B$7&lt;=0,99,ROUNDUP(MAX('Proje girdileri'!AC21,ROUNDUP('Proje girdileri'!AD21/'Ayarlar'!$B$7,0))/(52/12),0)),1,0))*('Proje girdileri'!Y21*(1-'Proje girdileri'!AA21-'Proje girdileri'!AB21)-'Proje girdileri'!Z21))-'Proje girdileri'!AJ21)</x:f>
        <x:v>0</x:v>
      </x:c>
      <x:c r="N21" s="24" t="n">
        <x:f>SUM(B21:M21)</x:f>
        <x:v>1755.1999999999998</x:v>
      </x:c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</x:row>
    <x:row r="22" ht="24" customHeight="1">
      <x:c r="A22" s="2" t="str">
        <x:f>'Hesap'!B22</x:f>
        <x:v>Devpanel</x:v>
      </x:c>
      <x:c r="B22" s="24" t="n">
        <x:f>IF(1&gt;'Ayarlar'!$B$6,0,IF(MAX(0,'Ayarlar'!$B$6-IF('Ayarlar'!$B$7&lt;=0,99,ROUNDUP(MAX('Proje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girdileri'!AD22/'Ayarlar'!$B$7,0))/(52/12),0)),1-1&lt;'Proje girdileri'!AH22),POWER(1-'Proje girdileri'!AT22,1-1),0)),IF(1&gt;IF('Ayarlar'!$B$7&lt;=0,99,ROUNDUP(MAX('Proje girdileri'!AC22,ROUNDUP('Proje girdileri'!AD22/'Ayarlar'!$B$7,0))/(52/12),0)),1,0))*('Proje girdileri'!Y22*(1-'Proje girdileri'!AA22-'Proje girdileri'!AB22)-'Proje girdileri'!Z22))-'Proje girdileri'!AJ22-'Proje girdileri'!AI22)</x:f>
        <x:v>0</x:v>
      </x:c>
      <x:c r="C22" s="24" t="n">
        <x:f>IF(2&gt;'Ayarlar'!$B$6,0,IF(MAX(0,'Ayarlar'!$B$6-IF('Ayarlar'!$B$7&lt;=0,99,ROUNDUP(MAX('Proje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girdileri'!AD22/'Ayarlar'!$B$7,0))/(52/12),0)),2-1&lt;'Proje girdileri'!AH22),POWER(1-'Proje girdileri'!AT22,2-1),0)+IF(AND(2&gt;IF('Ayarlar'!$B$7&lt;=0,99,ROUNDUP(MAX('Proje girdileri'!AC22,ROUNDUP('Proje girdileri'!AD22/'Ayarlar'!$B$7,0))/(52/12),0)),2-2&lt;'Proje girdileri'!AH22),POWER(1-'Proje girdileri'!AT22,2-2),0)),IF(2&gt;IF('Ayarlar'!$B$7&lt;=0,99,ROUNDUP(MAX('Proje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D22" s="24" t="n">
        <x:f>IF(3&gt;'Ayarlar'!$B$6,0,IF(MAX(0,'Ayarlar'!$B$6-IF('Ayarlar'!$B$7&lt;=0,99,ROUNDUP(MAX('Proje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girdileri'!AD22/'Ayarlar'!$B$7,0))/(52/12),0)),3-1&lt;'Proje girdileri'!AH22),POWER(1-'Proje girdileri'!AT22,3-1),0)+IF(AND(2&gt;IF('Ayarlar'!$B$7&lt;=0,99,ROUNDUP(MAX('Proje girdileri'!AC22,ROUNDUP('Proje girdileri'!AD22/'Ayarlar'!$B$7,0))/(52/12),0)),3-2&lt;'Proje girdileri'!AH22),POWER(1-'Proje girdileri'!AT22,3-2),0)+IF(AND(3&gt;IF('Ayarlar'!$B$7&lt;=0,99,ROUNDUP(MAX('Proje girdileri'!AC22,ROUNDUP('Proje girdileri'!AD22/'Ayarlar'!$B$7,0))/(52/12),0)),3-3&lt;'Proje girdileri'!AH22),POWER(1-'Proje girdileri'!AT22,3-3),0)),IF(3&gt;IF('Ayarlar'!$B$7&lt;=0,99,ROUNDUP(MAX('Proje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E22" s="24" t="n">
        <x:f>IF(4&gt;'Ayarlar'!$B$6,0,IF(MAX(0,'Ayarlar'!$B$6-IF('Ayarlar'!$B$7&lt;=0,99,ROUNDUP(MAX('Proje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girdileri'!AD22/'Ayarlar'!$B$7,0))/(52/12),0)),4-1&lt;'Proje girdileri'!AH22),POWER(1-'Proje girdileri'!AT22,4-1),0)+IF(AND(2&gt;IF('Ayarlar'!$B$7&lt;=0,99,ROUNDUP(MAX('Proje girdileri'!AC22,ROUNDUP('Proje girdileri'!AD22/'Ayarlar'!$B$7,0))/(52/12),0)),4-2&lt;'Proje girdileri'!AH22),POWER(1-'Proje girdileri'!AT22,4-2),0)+IF(AND(3&gt;IF('Ayarlar'!$B$7&lt;=0,99,ROUNDUP(MAX('Proje girdileri'!AC22,ROUNDUP('Proje girdileri'!AD22/'Ayarlar'!$B$7,0))/(52/12),0)),4-3&lt;'Proje girdileri'!AH22),POWER(1-'Proje girdileri'!AT22,4-3),0)+IF(AND(4&gt;IF('Ayarlar'!$B$7&lt;=0,99,ROUNDUP(MAX('Proje girdileri'!AC22,ROUNDUP('Proje girdileri'!AD22/'Ayarlar'!$B$7,0))/(52/12),0)),4-4&lt;'Proje girdileri'!AH22),POWER(1-'Proje girdileri'!AT22,4-4),0)),IF(4&gt;IF('Ayarlar'!$B$7&lt;=0,99,ROUNDUP(MAX('Proje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F22" s="24" t="n">
        <x:f>IF(5&gt;'Ayarlar'!$B$6,0,IF(MAX(0,'Ayarlar'!$B$6-IF('Ayarlar'!$B$7&lt;=0,99,ROUNDUP(MAX('Proje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girdileri'!AD22/'Ayarlar'!$B$7,0))/(52/12),0)),5-1&lt;'Proje girdileri'!AH22),POWER(1-'Proje girdileri'!AT22,5-1),0)+IF(AND(2&gt;IF('Ayarlar'!$B$7&lt;=0,99,ROUNDUP(MAX('Proje girdileri'!AC22,ROUNDUP('Proje girdileri'!AD22/'Ayarlar'!$B$7,0))/(52/12),0)),5-2&lt;'Proje girdileri'!AH22),POWER(1-'Proje girdileri'!AT22,5-2),0)+IF(AND(3&gt;IF('Ayarlar'!$B$7&lt;=0,99,ROUNDUP(MAX('Proje girdileri'!AC22,ROUNDUP('Proje girdileri'!AD22/'Ayarlar'!$B$7,0))/(52/12),0)),5-3&lt;'Proje girdileri'!AH22),POWER(1-'Proje girdileri'!AT22,5-3),0)+IF(AND(4&gt;IF('Ayarlar'!$B$7&lt;=0,99,ROUNDUP(MAX('Proje girdileri'!AC22,ROUNDUP('Proje girdileri'!AD22/'Ayarlar'!$B$7,0))/(52/12),0)),5-4&lt;'Proje girdileri'!AH22),POWER(1-'Proje girdileri'!AT22,5-4),0)+IF(AND(5&gt;IF('Ayarlar'!$B$7&lt;=0,99,ROUNDUP(MAX('Proje girdileri'!AC22,ROUNDUP('Proje girdileri'!AD22/'Ayarlar'!$B$7,0))/(52/12),0)),5-5&lt;'Proje girdileri'!AH22),POWER(1-'Proje girdileri'!AT22,5-5),0)),IF(5&gt;IF('Ayarlar'!$B$7&lt;=0,99,ROUNDUP(MAX('Proje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G22" s="24" t="n">
        <x:f>IF(6&gt;'Ayarlar'!$B$6,0,IF(MAX(0,'Ayarlar'!$B$6-IF('Ayarlar'!$B$7&lt;=0,99,ROUNDUP(MAX('Proje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girdileri'!AD22/'Ayarlar'!$B$7,0))/(52/12),0)),6-1&lt;'Proje girdileri'!AH22),POWER(1-'Proje girdileri'!AT22,6-1),0)+IF(AND(2&gt;IF('Ayarlar'!$B$7&lt;=0,99,ROUNDUP(MAX('Proje girdileri'!AC22,ROUNDUP('Proje girdileri'!AD22/'Ayarlar'!$B$7,0))/(52/12),0)),6-2&lt;'Proje girdileri'!AH22),POWER(1-'Proje girdileri'!AT22,6-2),0)+IF(AND(3&gt;IF('Ayarlar'!$B$7&lt;=0,99,ROUNDUP(MAX('Proje girdileri'!AC22,ROUNDUP('Proje girdileri'!AD22/'Ayarlar'!$B$7,0))/(52/12),0)),6-3&lt;'Proje girdileri'!AH22),POWER(1-'Proje girdileri'!AT22,6-3),0)+IF(AND(4&gt;IF('Ayarlar'!$B$7&lt;=0,99,ROUNDUP(MAX('Proje girdileri'!AC22,ROUNDUP('Proje girdileri'!AD22/'Ayarlar'!$B$7,0))/(52/12),0)),6-4&lt;'Proje girdileri'!AH22),POWER(1-'Proje girdileri'!AT22,6-4),0)+IF(AND(5&gt;IF('Ayarlar'!$B$7&lt;=0,99,ROUNDUP(MAX('Proje girdileri'!AC22,ROUNDUP('Proje girdileri'!AD22/'Ayarlar'!$B$7,0))/(52/12),0)),6-5&lt;'Proje girdileri'!AH22),POWER(1-'Proje girdileri'!AT22,6-5),0)+IF(AND(6&gt;IF('Ayarlar'!$B$7&lt;=0,99,ROUNDUP(MAX('Proje girdileri'!AC22,ROUNDUP('Proje girdileri'!AD22/'Ayarlar'!$B$7,0))/(52/12),0)),6-6&lt;'Proje girdileri'!AH22),POWER(1-'Proje girdileri'!AT22,6-6),0)),IF(6&gt;IF('Ayarlar'!$B$7&lt;=0,99,ROUNDUP(MAX('Proje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H22" s="24" t="n">
        <x:f>IF(7&gt;'Ayarlar'!$B$6,0,IF(MAX(0,'Ayarlar'!$B$6-IF('Ayarlar'!$B$7&lt;=0,99,ROUNDUP(MAX('Proje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girdileri'!AD22/'Ayarlar'!$B$7,0))/(52/12),0)),7-1&lt;'Proje girdileri'!AH22),POWER(1-'Proje girdileri'!AT22,7-1),0)+IF(AND(2&gt;IF('Ayarlar'!$B$7&lt;=0,99,ROUNDUP(MAX('Proje girdileri'!AC22,ROUNDUP('Proje girdileri'!AD22/'Ayarlar'!$B$7,0))/(52/12),0)),7-2&lt;'Proje girdileri'!AH22),POWER(1-'Proje girdileri'!AT22,7-2),0)+IF(AND(3&gt;IF('Ayarlar'!$B$7&lt;=0,99,ROUNDUP(MAX('Proje girdileri'!AC22,ROUNDUP('Proje girdileri'!AD22/'Ayarlar'!$B$7,0))/(52/12),0)),7-3&lt;'Proje girdileri'!AH22),POWER(1-'Proje girdileri'!AT22,7-3),0)+IF(AND(4&gt;IF('Ayarlar'!$B$7&lt;=0,99,ROUNDUP(MAX('Proje girdileri'!AC22,ROUNDUP('Proje girdileri'!AD22/'Ayarlar'!$B$7,0))/(52/12),0)),7-4&lt;'Proje girdileri'!AH22),POWER(1-'Proje girdileri'!AT22,7-4),0)+IF(AND(5&gt;IF('Ayarlar'!$B$7&lt;=0,99,ROUNDUP(MAX('Proje girdileri'!AC22,ROUNDUP('Proje girdileri'!AD22/'Ayarlar'!$B$7,0))/(52/12),0)),7-5&lt;'Proje girdileri'!AH22),POWER(1-'Proje girdileri'!AT22,7-5),0)+IF(AND(6&gt;IF('Ayarlar'!$B$7&lt;=0,99,ROUNDUP(MAX('Proje girdileri'!AC22,ROUNDUP('Proje girdileri'!AD22/'Ayarlar'!$B$7,0))/(52/12),0)),7-6&lt;'Proje girdileri'!AH22),POWER(1-'Proje girdileri'!AT22,7-6),0)+IF(AND(7&gt;IF('Ayarlar'!$B$7&lt;=0,99,ROUNDUP(MAX('Proje girdileri'!AC22,ROUNDUP('Proje girdileri'!AD22/'Ayarlar'!$B$7,0))/(52/12),0)),7-7&lt;'Proje girdileri'!AH22),POWER(1-'Proje girdileri'!AT22,7-7),0)),IF(7&gt;IF('Ayarlar'!$B$7&lt;=0,99,ROUNDUP(MAX('Proje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I22" s="24" t="n">
        <x:f>IF(8&gt;'Ayarlar'!$B$6,0,IF(MAX(0,'Ayarlar'!$B$6-IF('Ayarlar'!$B$7&lt;=0,99,ROUNDUP(MAX('Proje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girdileri'!AD22/'Ayarlar'!$B$7,0))/(52/12),0)),8-1&lt;'Proje girdileri'!AH22),POWER(1-'Proje girdileri'!AT22,8-1),0)+IF(AND(2&gt;IF('Ayarlar'!$B$7&lt;=0,99,ROUNDUP(MAX('Proje girdileri'!AC22,ROUNDUP('Proje girdileri'!AD22/'Ayarlar'!$B$7,0))/(52/12),0)),8-2&lt;'Proje girdileri'!AH22),POWER(1-'Proje girdileri'!AT22,8-2),0)+IF(AND(3&gt;IF('Ayarlar'!$B$7&lt;=0,99,ROUNDUP(MAX('Proje girdileri'!AC22,ROUNDUP('Proje girdileri'!AD22/'Ayarlar'!$B$7,0))/(52/12),0)),8-3&lt;'Proje girdileri'!AH22),POWER(1-'Proje girdileri'!AT22,8-3),0)+IF(AND(4&gt;IF('Ayarlar'!$B$7&lt;=0,99,ROUNDUP(MAX('Proje girdileri'!AC22,ROUNDUP('Proje girdileri'!AD22/'Ayarlar'!$B$7,0))/(52/12),0)),8-4&lt;'Proje girdileri'!AH22),POWER(1-'Proje girdileri'!AT22,8-4),0)+IF(AND(5&gt;IF('Ayarlar'!$B$7&lt;=0,99,ROUNDUP(MAX('Proje girdileri'!AC22,ROUNDUP('Proje girdileri'!AD22/'Ayarlar'!$B$7,0))/(52/12),0)),8-5&lt;'Proje girdileri'!AH22),POWER(1-'Proje girdileri'!AT22,8-5),0)+IF(AND(6&gt;IF('Ayarlar'!$B$7&lt;=0,99,ROUNDUP(MAX('Proje girdileri'!AC22,ROUNDUP('Proje girdileri'!AD22/'Ayarlar'!$B$7,0))/(52/12),0)),8-6&lt;'Proje girdileri'!AH22),POWER(1-'Proje girdileri'!AT22,8-6),0)+IF(AND(7&gt;IF('Ayarlar'!$B$7&lt;=0,99,ROUNDUP(MAX('Proje girdileri'!AC22,ROUNDUP('Proje girdileri'!AD22/'Ayarlar'!$B$7,0))/(52/12),0)),8-7&lt;'Proje girdileri'!AH22),POWER(1-'Proje girdileri'!AT22,8-7),0)+IF(AND(8&gt;IF('Ayarlar'!$B$7&lt;=0,99,ROUNDUP(MAX('Proje girdileri'!AC22,ROUNDUP('Proje girdileri'!AD22/'Ayarlar'!$B$7,0))/(52/12),0)),8-8&lt;'Proje girdileri'!AH22),POWER(1-'Proje girdileri'!AT22,8-8),0)),IF(8&gt;IF('Ayarlar'!$B$7&lt;=0,99,ROUNDUP(MAX('Proje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J22" s="24" t="n">
        <x:f>IF(9&gt;'Ayarlar'!$B$6,0,IF(MAX(0,'Ayarlar'!$B$6-IF('Ayarlar'!$B$7&lt;=0,99,ROUNDUP(MAX('Proje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girdileri'!AD22/'Ayarlar'!$B$7,0))/(52/12),0)),9-1&lt;'Proje girdileri'!AH22),POWER(1-'Proje girdileri'!AT22,9-1),0)+IF(AND(2&gt;IF('Ayarlar'!$B$7&lt;=0,99,ROUNDUP(MAX('Proje girdileri'!AC22,ROUNDUP('Proje girdileri'!AD22/'Ayarlar'!$B$7,0))/(52/12),0)),9-2&lt;'Proje girdileri'!AH22),POWER(1-'Proje girdileri'!AT22,9-2),0)+IF(AND(3&gt;IF('Ayarlar'!$B$7&lt;=0,99,ROUNDUP(MAX('Proje girdileri'!AC22,ROUNDUP('Proje girdileri'!AD22/'Ayarlar'!$B$7,0))/(52/12),0)),9-3&lt;'Proje girdileri'!AH22),POWER(1-'Proje girdileri'!AT22,9-3),0)+IF(AND(4&gt;IF('Ayarlar'!$B$7&lt;=0,99,ROUNDUP(MAX('Proje girdileri'!AC22,ROUNDUP('Proje girdileri'!AD22/'Ayarlar'!$B$7,0))/(52/12),0)),9-4&lt;'Proje girdileri'!AH22),POWER(1-'Proje girdileri'!AT22,9-4),0)+IF(AND(5&gt;IF('Ayarlar'!$B$7&lt;=0,99,ROUNDUP(MAX('Proje girdileri'!AC22,ROUNDUP('Proje girdileri'!AD22/'Ayarlar'!$B$7,0))/(52/12),0)),9-5&lt;'Proje girdileri'!AH22),POWER(1-'Proje girdileri'!AT22,9-5),0)+IF(AND(6&gt;IF('Ayarlar'!$B$7&lt;=0,99,ROUNDUP(MAX('Proje girdileri'!AC22,ROUNDUP('Proje girdileri'!AD22/'Ayarlar'!$B$7,0))/(52/12),0)),9-6&lt;'Proje girdileri'!AH22),POWER(1-'Proje girdileri'!AT22,9-6),0)+IF(AND(7&gt;IF('Ayarlar'!$B$7&lt;=0,99,ROUNDUP(MAX('Proje girdileri'!AC22,ROUNDUP('Proje girdileri'!AD22/'Ayarlar'!$B$7,0))/(52/12),0)),9-7&lt;'Proje girdileri'!AH22),POWER(1-'Proje girdileri'!AT22,9-7),0)+IF(AND(8&gt;IF('Ayarlar'!$B$7&lt;=0,99,ROUNDUP(MAX('Proje girdileri'!AC22,ROUNDUP('Proje girdileri'!AD22/'Ayarlar'!$B$7,0))/(52/12),0)),9-8&lt;'Proje girdileri'!AH22),POWER(1-'Proje girdileri'!AT22,9-8),0)+IF(AND(9&gt;IF('Ayarlar'!$B$7&lt;=0,99,ROUNDUP(MAX('Proje girdileri'!AC22,ROUNDUP('Proje girdileri'!AD22/'Ayarlar'!$B$7,0))/(52/12),0)),9-9&lt;'Proje girdileri'!AH22),POWER(1-'Proje girdileri'!AT22,9-9),0)),IF(9&gt;IF('Ayarlar'!$B$7&lt;=0,99,ROUNDUP(MAX('Proje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K22" s="24" t="n">
        <x:f>IF(10&gt;'Ayarlar'!$B$6,0,IF(MAX(0,'Ayarlar'!$B$6-IF('Ayarlar'!$B$7&lt;=0,99,ROUNDUP(MAX('Proje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girdileri'!AD22/'Ayarlar'!$B$7,0))/(52/12),0)),10-1&lt;'Proje girdileri'!AH22),POWER(1-'Proje girdileri'!AT22,10-1),0)+IF(AND(2&gt;IF('Ayarlar'!$B$7&lt;=0,99,ROUNDUP(MAX('Proje girdileri'!AC22,ROUNDUP('Proje girdileri'!AD22/'Ayarlar'!$B$7,0))/(52/12),0)),10-2&lt;'Proje girdileri'!AH22),POWER(1-'Proje girdileri'!AT22,10-2),0)+IF(AND(3&gt;IF('Ayarlar'!$B$7&lt;=0,99,ROUNDUP(MAX('Proje girdileri'!AC22,ROUNDUP('Proje girdileri'!AD22/'Ayarlar'!$B$7,0))/(52/12),0)),10-3&lt;'Proje girdileri'!AH22),POWER(1-'Proje girdileri'!AT22,10-3),0)+IF(AND(4&gt;IF('Ayarlar'!$B$7&lt;=0,99,ROUNDUP(MAX('Proje girdileri'!AC22,ROUNDUP('Proje girdileri'!AD22/'Ayarlar'!$B$7,0))/(52/12),0)),10-4&lt;'Proje girdileri'!AH22),POWER(1-'Proje girdileri'!AT22,10-4),0)+IF(AND(5&gt;IF('Ayarlar'!$B$7&lt;=0,99,ROUNDUP(MAX('Proje girdileri'!AC22,ROUNDUP('Proje girdileri'!AD22/'Ayarlar'!$B$7,0))/(52/12),0)),10-5&lt;'Proje girdileri'!AH22),POWER(1-'Proje girdileri'!AT22,10-5),0)+IF(AND(6&gt;IF('Ayarlar'!$B$7&lt;=0,99,ROUNDUP(MAX('Proje girdileri'!AC22,ROUNDUP('Proje girdileri'!AD22/'Ayarlar'!$B$7,0))/(52/12),0)),10-6&lt;'Proje girdileri'!AH22),POWER(1-'Proje girdileri'!AT22,10-6),0)+IF(AND(7&gt;IF('Ayarlar'!$B$7&lt;=0,99,ROUNDUP(MAX('Proje girdileri'!AC22,ROUNDUP('Proje girdileri'!AD22/'Ayarlar'!$B$7,0))/(52/12),0)),10-7&lt;'Proje girdileri'!AH22),POWER(1-'Proje girdileri'!AT22,10-7),0)+IF(AND(8&gt;IF('Ayarlar'!$B$7&lt;=0,99,ROUNDUP(MAX('Proje girdileri'!AC22,ROUNDUP('Proje girdileri'!AD22/'Ayarlar'!$B$7,0))/(52/12),0)),10-8&lt;'Proje girdileri'!AH22),POWER(1-'Proje girdileri'!AT22,10-8),0)+IF(AND(9&gt;IF('Ayarlar'!$B$7&lt;=0,99,ROUNDUP(MAX('Proje girdileri'!AC22,ROUNDUP('Proje girdileri'!AD22/'Ayarlar'!$B$7,0))/(52/12),0)),10-9&lt;'Proje girdileri'!AH22),POWER(1-'Proje girdileri'!AT22,10-9),0)+IF(AND(10&gt;IF('Ayarlar'!$B$7&lt;=0,99,ROUNDUP(MAX('Proje girdileri'!AC22,ROUNDUP('Proje girdileri'!AD22/'Ayarlar'!$B$7,0))/(52/12),0)),10-10&lt;'Proje girdileri'!AH22),POWER(1-'Proje girdileri'!AT22,10-10),0)),IF(10&gt;IF('Ayarlar'!$B$7&lt;=0,99,ROUNDUP(MAX('Proje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L22" s="24" t="n">
        <x:f>IF(11&gt;'Ayarlar'!$B$6,0,IF(MAX(0,'Ayarlar'!$B$6-IF('Ayarlar'!$B$7&lt;=0,99,ROUNDUP(MAX('Proje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girdileri'!AD22/'Ayarlar'!$B$7,0))/(52/12),0)),11-1&lt;'Proje girdileri'!AH22),POWER(1-'Proje girdileri'!AT22,11-1),0)+IF(AND(2&gt;IF('Ayarlar'!$B$7&lt;=0,99,ROUNDUP(MAX('Proje girdileri'!AC22,ROUNDUP('Proje girdileri'!AD22/'Ayarlar'!$B$7,0))/(52/12),0)),11-2&lt;'Proje girdileri'!AH22),POWER(1-'Proje girdileri'!AT22,11-2),0)+IF(AND(3&gt;IF('Ayarlar'!$B$7&lt;=0,99,ROUNDUP(MAX('Proje girdileri'!AC22,ROUNDUP('Proje girdileri'!AD22/'Ayarlar'!$B$7,0))/(52/12),0)),11-3&lt;'Proje girdileri'!AH22),POWER(1-'Proje girdileri'!AT22,11-3),0)+IF(AND(4&gt;IF('Ayarlar'!$B$7&lt;=0,99,ROUNDUP(MAX('Proje girdileri'!AC22,ROUNDUP('Proje girdileri'!AD22/'Ayarlar'!$B$7,0))/(52/12),0)),11-4&lt;'Proje girdileri'!AH22),POWER(1-'Proje girdileri'!AT22,11-4),0)+IF(AND(5&gt;IF('Ayarlar'!$B$7&lt;=0,99,ROUNDUP(MAX('Proje girdileri'!AC22,ROUNDUP('Proje girdileri'!AD22/'Ayarlar'!$B$7,0))/(52/12),0)),11-5&lt;'Proje girdileri'!AH22),POWER(1-'Proje girdileri'!AT22,11-5),0)+IF(AND(6&gt;IF('Ayarlar'!$B$7&lt;=0,99,ROUNDUP(MAX('Proje girdileri'!AC22,ROUNDUP('Proje girdileri'!AD22/'Ayarlar'!$B$7,0))/(52/12),0)),11-6&lt;'Proje girdileri'!AH22),POWER(1-'Proje girdileri'!AT22,11-6),0)+IF(AND(7&gt;IF('Ayarlar'!$B$7&lt;=0,99,ROUNDUP(MAX('Proje girdileri'!AC22,ROUNDUP('Proje girdileri'!AD22/'Ayarlar'!$B$7,0))/(52/12),0)),11-7&lt;'Proje girdileri'!AH22),POWER(1-'Proje girdileri'!AT22,11-7),0)+IF(AND(8&gt;IF('Ayarlar'!$B$7&lt;=0,99,ROUNDUP(MAX('Proje girdileri'!AC22,ROUNDUP('Proje girdileri'!AD22/'Ayarlar'!$B$7,0))/(52/12),0)),11-8&lt;'Proje girdileri'!AH22),POWER(1-'Proje girdileri'!AT22,11-8),0)+IF(AND(9&gt;IF('Ayarlar'!$B$7&lt;=0,99,ROUNDUP(MAX('Proje girdileri'!AC22,ROUNDUP('Proje girdileri'!AD22/'Ayarlar'!$B$7,0))/(52/12),0)),11-9&lt;'Proje girdileri'!AH22),POWER(1-'Proje girdileri'!AT22,11-9),0)+IF(AND(10&gt;IF('Ayarlar'!$B$7&lt;=0,99,ROUNDUP(MAX('Proje girdileri'!AC22,ROUNDUP('Proje girdileri'!AD22/'Ayarlar'!$B$7,0))/(52/12),0)),11-10&lt;'Proje girdileri'!AH22),POWER(1-'Proje girdileri'!AT22,11-10),0)+IF(AND(11&gt;IF('Ayarlar'!$B$7&lt;=0,99,ROUNDUP(MAX('Proje girdileri'!AC22,ROUNDUP('Proje girdileri'!AD22/'Ayarlar'!$B$7,0))/(52/12),0)),11-11&lt;'Proje girdileri'!AH22),POWER(1-'Proje girdileri'!AT22,11-11),0)),IF(11&gt;IF('Ayarlar'!$B$7&lt;=0,99,ROUNDUP(MAX('Proje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M22" s="24" t="n">
        <x:f>IF(12&gt;'Ayarlar'!$B$6,0,IF(MAX(0,'Ayarlar'!$B$6-IF('Ayarlar'!$B$7&lt;=0,99,ROUNDUP(MAX('Proje girdileri'!AC22,ROUNDUP('Proje girdileri'!AD22/'Ayarlar'!$B$7,0))/(52/12),0)))=0,0,'Hesap'!I22/MAX(0,'Ayarlar'!$B$6-IF('Ayarlar'!$B$7&lt;=0,99,ROUNDUP(MAX('Proje girdileri'!AC22,ROUNDUP('Proje girdileri'!AD22/'Ayarlar'!$B$7,0))/(52/12),0)))*IF('Proje girdileri'!C22="recurring",(IF(AND(1&gt;IF('Ayarlar'!$B$7&lt;=0,99,ROUNDUP(MAX('Proje girdileri'!AC22,ROUNDUP('Proje girdileri'!AD22/'Ayarlar'!$B$7,0))/(52/12),0)),12-1&lt;'Proje girdileri'!AH22),POWER(1-'Proje girdileri'!AT22,12-1),0)+IF(AND(2&gt;IF('Ayarlar'!$B$7&lt;=0,99,ROUNDUP(MAX('Proje girdileri'!AC22,ROUNDUP('Proje girdileri'!AD22/'Ayarlar'!$B$7,0))/(52/12),0)),12-2&lt;'Proje girdileri'!AH22),POWER(1-'Proje girdileri'!AT22,12-2),0)+IF(AND(3&gt;IF('Ayarlar'!$B$7&lt;=0,99,ROUNDUP(MAX('Proje girdileri'!AC22,ROUNDUP('Proje girdileri'!AD22/'Ayarlar'!$B$7,0))/(52/12),0)),12-3&lt;'Proje girdileri'!AH22),POWER(1-'Proje girdileri'!AT22,12-3),0)+IF(AND(4&gt;IF('Ayarlar'!$B$7&lt;=0,99,ROUNDUP(MAX('Proje girdileri'!AC22,ROUNDUP('Proje girdileri'!AD22/'Ayarlar'!$B$7,0))/(52/12),0)),12-4&lt;'Proje girdileri'!AH22),POWER(1-'Proje girdileri'!AT22,12-4),0)+IF(AND(5&gt;IF('Ayarlar'!$B$7&lt;=0,99,ROUNDUP(MAX('Proje girdileri'!AC22,ROUNDUP('Proje girdileri'!AD22/'Ayarlar'!$B$7,0))/(52/12),0)),12-5&lt;'Proje girdileri'!AH22),POWER(1-'Proje girdileri'!AT22,12-5),0)+IF(AND(6&gt;IF('Ayarlar'!$B$7&lt;=0,99,ROUNDUP(MAX('Proje girdileri'!AC22,ROUNDUP('Proje girdileri'!AD22/'Ayarlar'!$B$7,0))/(52/12),0)),12-6&lt;'Proje girdileri'!AH22),POWER(1-'Proje girdileri'!AT22,12-6),0)+IF(AND(7&gt;IF('Ayarlar'!$B$7&lt;=0,99,ROUNDUP(MAX('Proje girdileri'!AC22,ROUNDUP('Proje girdileri'!AD22/'Ayarlar'!$B$7,0))/(52/12),0)),12-7&lt;'Proje girdileri'!AH22),POWER(1-'Proje girdileri'!AT22,12-7),0)+IF(AND(8&gt;IF('Ayarlar'!$B$7&lt;=0,99,ROUNDUP(MAX('Proje girdileri'!AC22,ROUNDUP('Proje girdileri'!AD22/'Ayarlar'!$B$7,0))/(52/12),0)),12-8&lt;'Proje girdileri'!AH22),POWER(1-'Proje girdileri'!AT22,12-8),0)+IF(AND(9&gt;IF('Ayarlar'!$B$7&lt;=0,99,ROUNDUP(MAX('Proje girdileri'!AC22,ROUNDUP('Proje girdileri'!AD22/'Ayarlar'!$B$7,0))/(52/12),0)),12-9&lt;'Proje girdileri'!AH22),POWER(1-'Proje girdileri'!AT22,12-9),0)+IF(AND(10&gt;IF('Ayarlar'!$B$7&lt;=0,99,ROUNDUP(MAX('Proje girdileri'!AC22,ROUNDUP('Proje girdileri'!AD22/'Ayarlar'!$B$7,0))/(52/12),0)),12-10&lt;'Proje girdileri'!AH22),POWER(1-'Proje girdileri'!AT22,12-10),0)+IF(AND(11&gt;IF('Ayarlar'!$B$7&lt;=0,99,ROUNDUP(MAX('Proje girdileri'!AC22,ROUNDUP('Proje girdileri'!AD22/'Ayarlar'!$B$7,0))/(52/12),0)),12-11&lt;'Proje girdileri'!AH22),POWER(1-'Proje girdileri'!AT22,12-11),0)+IF(AND(12&gt;IF('Ayarlar'!$B$7&lt;=0,99,ROUNDUP(MAX('Proje girdileri'!AC22,ROUNDUP('Proje girdileri'!AD22/'Ayarlar'!$B$7,0))/(52/12),0)),12-12&lt;'Proje girdileri'!AH22),POWER(1-'Proje girdileri'!AT22,12-12),0)),IF(12&gt;IF('Ayarlar'!$B$7&lt;=0,99,ROUNDUP(MAX('Proje girdileri'!AC22,ROUNDUP('Proje girdileri'!AD22/'Ayarlar'!$B$7,0))/(52/12),0)),1,0))*('Proje girdileri'!Y22*(1-'Proje girdileri'!AA22-'Proje girdileri'!AB22)-'Proje girdileri'!Z22))-'Proje girdileri'!AJ22)</x:f>
        <x:v>0</x:v>
      </x:c>
      <x:c r="N22" s="24" t="n">
        <x:f>SUM(B22:M22)</x:f>
        <x:v>0</x:v>
      </x:c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</x:row>
    <x:row r="23" ht="24" customHeight="1">
      <x:c r="A23" s="2" t="str">
        <x:f>'Hesap'!B23</x:f>
        <x:v>E Menüm varlığı</x:v>
      </x:c>
      <x:c r="B23" s="24" t="n">
        <x:f>IF(1&gt;'Ayarlar'!$B$6,0,IF(MAX(0,'Ayarlar'!$B$6-IF('Ayarlar'!$B$7&lt;=0,99,ROUNDUP(MAX('Proje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girdileri'!AD23/'Ayarlar'!$B$7,0))/(52/12),0)),1-1&lt;'Proje girdileri'!AH23),POWER(1-'Proje girdileri'!AT23,1-1),0)),IF(1&gt;IF('Ayarlar'!$B$7&lt;=0,99,ROUNDUP(MAX('Proje girdileri'!AC23,ROUNDUP('Proje girdileri'!AD23/'Ayarlar'!$B$7,0))/(52/12),0)),1,0))*('Proje girdileri'!Y23*(1-'Proje girdileri'!AA23-'Proje girdileri'!AB23)-'Proje girdileri'!Z23))-'Proje girdileri'!AJ23-'Proje girdileri'!AI23)</x:f>
        <x:v>0</x:v>
      </x:c>
      <x:c r="C23" s="24" t="n">
        <x:f>IF(2&gt;'Ayarlar'!$B$6,0,IF(MAX(0,'Ayarlar'!$B$6-IF('Ayarlar'!$B$7&lt;=0,99,ROUNDUP(MAX('Proje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girdileri'!AD23/'Ayarlar'!$B$7,0))/(52/12),0)),2-1&lt;'Proje girdileri'!AH23),POWER(1-'Proje girdileri'!AT23,2-1),0)+IF(AND(2&gt;IF('Ayarlar'!$B$7&lt;=0,99,ROUNDUP(MAX('Proje girdileri'!AC23,ROUNDUP('Proje girdileri'!AD23/'Ayarlar'!$B$7,0))/(52/12),0)),2-2&lt;'Proje girdileri'!AH23),POWER(1-'Proje girdileri'!AT23,2-2),0)),IF(2&gt;IF('Ayarlar'!$B$7&lt;=0,99,ROUNDUP(MAX('Proje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D23" s="24" t="n">
        <x:f>IF(3&gt;'Ayarlar'!$B$6,0,IF(MAX(0,'Ayarlar'!$B$6-IF('Ayarlar'!$B$7&lt;=0,99,ROUNDUP(MAX('Proje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girdileri'!AD23/'Ayarlar'!$B$7,0))/(52/12),0)),3-1&lt;'Proje girdileri'!AH23),POWER(1-'Proje girdileri'!AT23,3-1),0)+IF(AND(2&gt;IF('Ayarlar'!$B$7&lt;=0,99,ROUNDUP(MAX('Proje girdileri'!AC23,ROUNDUP('Proje girdileri'!AD23/'Ayarlar'!$B$7,0))/(52/12),0)),3-2&lt;'Proje girdileri'!AH23),POWER(1-'Proje girdileri'!AT23,3-2),0)+IF(AND(3&gt;IF('Ayarlar'!$B$7&lt;=0,99,ROUNDUP(MAX('Proje girdileri'!AC23,ROUNDUP('Proje girdileri'!AD23/'Ayarlar'!$B$7,0))/(52/12),0)),3-3&lt;'Proje girdileri'!AH23),POWER(1-'Proje girdileri'!AT23,3-3),0)),IF(3&gt;IF('Ayarlar'!$B$7&lt;=0,99,ROUNDUP(MAX('Proje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E23" s="24" t="n">
        <x:f>IF(4&gt;'Ayarlar'!$B$6,0,IF(MAX(0,'Ayarlar'!$B$6-IF('Ayarlar'!$B$7&lt;=0,99,ROUNDUP(MAX('Proje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girdileri'!AD23/'Ayarlar'!$B$7,0))/(52/12),0)),4-1&lt;'Proje girdileri'!AH23),POWER(1-'Proje girdileri'!AT23,4-1),0)+IF(AND(2&gt;IF('Ayarlar'!$B$7&lt;=0,99,ROUNDUP(MAX('Proje girdileri'!AC23,ROUNDUP('Proje girdileri'!AD23/'Ayarlar'!$B$7,0))/(52/12),0)),4-2&lt;'Proje girdileri'!AH23),POWER(1-'Proje girdileri'!AT23,4-2),0)+IF(AND(3&gt;IF('Ayarlar'!$B$7&lt;=0,99,ROUNDUP(MAX('Proje girdileri'!AC23,ROUNDUP('Proje girdileri'!AD23/'Ayarlar'!$B$7,0))/(52/12),0)),4-3&lt;'Proje girdileri'!AH23),POWER(1-'Proje girdileri'!AT23,4-3),0)+IF(AND(4&gt;IF('Ayarlar'!$B$7&lt;=0,99,ROUNDUP(MAX('Proje girdileri'!AC23,ROUNDUP('Proje girdileri'!AD23/'Ayarlar'!$B$7,0))/(52/12),0)),4-4&lt;'Proje girdileri'!AH23),POWER(1-'Proje girdileri'!AT23,4-4),0)),IF(4&gt;IF('Ayarlar'!$B$7&lt;=0,99,ROUNDUP(MAX('Proje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F23" s="24" t="n">
        <x:f>IF(5&gt;'Ayarlar'!$B$6,0,IF(MAX(0,'Ayarlar'!$B$6-IF('Ayarlar'!$B$7&lt;=0,99,ROUNDUP(MAX('Proje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girdileri'!AD23/'Ayarlar'!$B$7,0))/(52/12),0)),5-1&lt;'Proje girdileri'!AH23),POWER(1-'Proje girdileri'!AT23,5-1),0)+IF(AND(2&gt;IF('Ayarlar'!$B$7&lt;=0,99,ROUNDUP(MAX('Proje girdileri'!AC23,ROUNDUP('Proje girdileri'!AD23/'Ayarlar'!$B$7,0))/(52/12),0)),5-2&lt;'Proje girdileri'!AH23),POWER(1-'Proje girdileri'!AT23,5-2),0)+IF(AND(3&gt;IF('Ayarlar'!$B$7&lt;=0,99,ROUNDUP(MAX('Proje girdileri'!AC23,ROUNDUP('Proje girdileri'!AD23/'Ayarlar'!$B$7,0))/(52/12),0)),5-3&lt;'Proje girdileri'!AH23),POWER(1-'Proje girdileri'!AT23,5-3),0)+IF(AND(4&gt;IF('Ayarlar'!$B$7&lt;=0,99,ROUNDUP(MAX('Proje girdileri'!AC23,ROUNDUP('Proje girdileri'!AD23/'Ayarlar'!$B$7,0))/(52/12),0)),5-4&lt;'Proje girdileri'!AH23),POWER(1-'Proje girdileri'!AT23,5-4),0)+IF(AND(5&gt;IF('Ayarlar'!$B$7&lt;=0,99,ROUNDUP(MAX('Proje girdileri'!AC23,ROUNDUP('Proje girdileri'!AD23/'Ayarlar'!$B$7,0))/(52/12),0)),5-5&lt;'Proje girdileri'!AH23),POWER(1-'Proje girdileri'!AT23,5-5),0)),IF(5&gt;IF('Ayarlar'!$B$7&lt;=0,99,ROUNDUP(MAX('Proje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G23" s="24" t="n">
        <x:f>IF(6&gt;'Ayarlar'!$B$6,0,IF(MAX(0,'Ayarlar'!$B$6-IF('Ayarlar'!$B$7&lt;=0,99,ROUNDUP(MAX('Proje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girdileri'!AD23/'Ayarlar'!$B$7,0))/(52/12),0)),6-1&lt;'Proje girdileri'!AH23),POWER(1-'Proje girdileri'!AT23,6-1),0)+IF(AND(2&gt;IF('Ayarlar'!$B$7&lt;=0,99,ROUNDUP(MAX('Proje girdileri'!AC23,ROUNDUP('Proje girdileri'!AD23/'Ayarlar'!$B$7,0))/(52/12),0)),6-2&lt;'Proje girdileri'!AH23),POWER(1-'Proje girdileri'!AT23,6-2),0)+IF(AND(3&gt;IF('Ayarlar'!$B$7&lt;=0,99,ROUNDUP(MAX('Proje girdileri'!AC23,ROUNDUP('Proje girdileri'!AD23/'Ayarlar'!$B$7,0))/(52/12),0)),6-3&lt;'Proje girdileri'!AH23),POWER(1-'Proje girdileri'!AT23,6-3),0)+IF(AND(4&gt;IF('Ayarlar'!$B$7&lt;=0,99,ROUNDUP(MAX('Proje girdileri'!AC23,ROUNDUP('Proje girdileri'!AD23/'Ayarlar'!$B$7,0))/(52/12),0)),6-4&lt;'Proje girdileri'!AH23),POWER(1-'Proje girdileri'!AT23,6-4),0)+IF(AND(5&gt;IF('Ayarlar'!$B$7&lt;=0,99,ROUNDUP(MAX('Proje girdileri'!AC23,ROUNDUP('Proje girdileri'!AD23/'Ayarlar'!$B$7,0))/(52/12),0)),6-5&lt;'Proje girdileri'!AH23),POWER(1-'Proje girdileri'!AT23,6-5),0)+IF(AND(6&gt;IF('Ayarlar'!$B$7&lt;=0,99,ROUNDUP(MAX('Proje girdileri'!AC23,ROUNDUP('Proje girdileri'!AD23/'Ayarlar'!$B$7,0))/(52/12),0)),6-6&lt;'Proje girdileri'!AH23),POWER(1-'Proje girdileri'!AT23,6-6),0)),IF(6&gt;IF('Ayarlar'!$B$7&lt;=0,99,ROUNDUP(MAX('Proje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H23" s="24" t="n">
        <x:f>IF(7&gt;'Ayarlar'!$B$6,0,IF(MAX(0,'Ayarlar'!$B$6-IF('Ayarlar'!$B$7&lt;=0,99,ROUNDUP(MAX('Proje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girdileri'!AD23/'Ayarlar'!$B$7,0))/(52/12),0)),7-1&lt;'Proje girdileri'!AH23),POWER(1-'Proje girdileri'!AT23,7-1),0)+IF(AND(2&gt;IF('Ayarlar'!$B$7&lt;=0,99,ROUNDUP(MAX('Proje girdileri'!AC23,ROUNDUP('Proje girdileri'!AD23/'Ayarlar'!$B$7,0))/(52/12),0)),7-2&lt;'Proje girdileri'!AH23),POWER(1-'Proje girdileri'!AT23,7-2),0)+IF(AND(3&gt;IF('Ayarlar'!$B$7&lt;=0,99,ROUNDUP(MAX('Proje girdileri'!AC23,ROUNDUP('Proje girdileri'!AD23/'Ayarlar'!$B$7,0))/(52/12),0)),7-3&lt;'Proje girdileri'!AH23),POWER(1-'Proje girdileri'!AT23,7-3),0)+IF(AND(4&gt;IF('Ayarlar'!$B$7&lt;=0,99,ROUNDUP(MAX('Proje girdileri'!AC23,ROUNDUP('Proje girdileri'!AD23/'Ayarlar'!$B$7,0))/(52/12),0)),7-4&lt;'Proje girdileri'!AH23),POWER(1-'Proje girdileri'!AT23,7-4),0)+IF(AND(5&gt;IF('Ayarlar'!$B$7&lt;=0,99,ROUNDUP(MAX('Proje girdileri'!AC23,ROUNDUP('Proje girdileri'!AD23/'Ayarlar'!$B$7,0))/(52/12),0)),7-5&lt;'Proje girdileri'!AH23),POWER(1-'Proje girdileri'!AT23,7-5),0)+IF(AND(6&gt;IF('Ayarlar'!$B$7&lt;=0,99,ROUNDUP(MAX('Proje girdileri'!AC23,ROUNDUP('Proje girdileri'!AD23/'Ayarlar'!$B$7,0))/(52/12),0)),7-6&lt;'Proje girdileri'!AH23),POWER(1-'Proje girdileri'!AT23,7-6),0)+IF(AND(7&gt;IF('Ayarlar'!$B$7&lt;=0,99,ROUNDUP(MAX('Proje girdileri'!AC23,ROUNDUP('Proje girdileri'!AD23/'Ayarlar'!$B$7,0))/(52/12),0)),7-7&lt;'Proje girdileri'!AH23),POWER(1-'Proje girdileri'!AT23,7-7),0)),IF(7&gt;IF('Ayarlar'!$B$7&lt;=0,99,ROUNDUP(MAX('Proje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I23" s="24" t="n">
        <x:f>IF(8&gt;'Ayarlar'!$B$6,0,IF(MAX(0,'Ayarlar'!$B$6-IF('Ayarlar'!$B$7&lt;=0,99,ROUNDUP(MAX('Proje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girdileri'!AD23/'Ayarlar'!$B$7,0))/(52/12),0)),8-1&lt;'Proje girdileri'!AH23),POWER(1-'Proje girdileri'!AT23,8-1),0)+IF(AND(2&gt;IF('Ayarlar'!$B$7&lt;=0,99,ROUNDUP(MAX('Proje girdileri'!AC23,ROUNDUP('Proje girdileri'!AD23/'Ayarlar'!$B$7,0))/(52/12),0)),8-2&lt;'Proje girdileri'!AH23),POWER(1-'Proje girdileri'!AT23,8-2),0)+IF(AND(3&gt;IF('Ayarlar'!$B$7&lt;=0,99,ROUNDUP(MAX('Proje girdileri'!AC23,ROUNDUP('Proje girdileri'!AD23/'Ayarlar'!$B$7,0))/(52/12),0)),8-3&lt;'Proje girdileri'!AH23),POWER(1-'Proje girdileri'!AT23,8-3),0)+IF(AND(4&gt;IF('Ayarlar'!$B$7&lt;=0,99,ROUNDUP(MAX('Proje girdileri'!AC23,ROUNDUP('Proje girdileri'!AD23/'Ayarlar'!$B$7,0))/(52/12),0)),8-4&lt;'Proje girdileri'!AH23),POWER(1-'Proje girdileri'!AT23,8-4),0)+IF(AND(5&gt;IF('Ayarlar'!$B$7&lt;=0,99,ROUNDUP(MAX('Proje girdileri'!AC23,ROUNDUP('Proje girdileri'!AD23/'Ayarlar'!$B$7,0))/(52/12),0)),8-5&lt;'Proje girdileri'!AH23),POWER(1-'Proje girdileri'!AT23,8-5),0)+IF(AND(6&gt;IF('Ayarlar'!$B$7&lt;=0,99,ROUNDUP(MAX('Proje girdileri'!AC23,ROUNDUP('Proje girdileri'!AD23/'Ayarlar'!$B$7,0))/(52/12),0)),8-6&lt;'Proje girdileri'!AH23),POWER(1-'Proje girdileri'!AT23,8-6),0)+IF(AND(7&gt;IF('Ayarlar'!$B$7&lt;=0,99,ROUNDUP(MAX('Proje girdileri'!AC23,ROUNDUP('Proje girdileri'!AD23/'Ayarlar'!$B$7,0))/(52/12),0)),8-7&lt;'Proje girdileri'!AH23),POWER(1-'Proje girdileri'!AT23,8-7),0)+IF(AND(8&gt;IF('Ayarlar'!$B$7&lt;=0,99,ROUNDUP(MAX('Proje girdileri'!AC23,ROUNDUP('Proje girdileri'!AD23/'Ayarlar'!$B$7,0))/(52/12),0)),8-8&lt;'Proje girdileri'!AH23),POWER(1-'Proje girdileri'!AT23,8-8),0)),IF(8&gt;IF('Ayarlar'!$B$7&lt;=0,99,ROUNDUP(MAX('Proje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J23" s="24" t="n">
        <x:f>IF(9&gt;'Ayarlar'!$B$6,0,IF(MAX(0,'Ayarlar'!$B$6-IF('Ayarlar'!$B$7&lt;=0,99,ROUNDUP(MAX('Proje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girdileri'!AD23/'Ayarlar'!$B$7,0))/(52/12),0)),9-1&lt;'Proje girdileri'!AH23),POWER(1-'Proje girdileri'!AT23,9-1),0)+IF(AND(2&gt;IF('Ayarlar'!$B$7&lt;=0,99,ROUNDUP(MAX('Proje girdileri'!AC23,ROUNDUP('Proje girdileri'!AD23/'Ayarlar'!$B$7,0))/(52/12),0)),9-2&lt;'Proje girdileri'!AH23),POWER(1-'Proje girdileri'!AT23,9-2),0)+IF(AND(3&gt;IF('Ayarlar'!$B$7&lt;=0,99,ROUNDUP(MAX('Proje girdileri'!AC23,ROUNDUP('Proje girdileri'!AD23/'Ayarlar'!$B$7,0))/(52/12),0)),9-3&lt;'Proje girdileri'!AH23),POWER(1-'Proje girdileri'!AT23,9-3),0)+IF(AND(4&gt;IF('Ayarlar'!$B$7&lt;=0,99,ROUNDUP(MAX('Proje girdileri'!AC23,ROUNDUP('Proje girdileri'!AD23/'Ayarlar'!$B$7,0))/(52/12),0)),9-4&lt;'Proje girdileri'!AH23),POWER(1-'Proje girdileri'!AT23,9-4),0)+IF(AND(5&gt;IF('Ayarlar'!$B$7&lt;=0,99,ROUNDUP(MAX('Proje girdileri'!AC23,ROUNDUP('Proje girdileri'!AD23/'Ayarlar'!$B$7,0))/(52/12),0)),9-5&lt;'Proje girdileri'!AH23),POWER(1-'Proje girdileri'!AT23,9-5),0)+IF(AND(6&gt;IF('Ayarlar'!$B$7&lt;=0,99,ROUNDUP(MAX('Proje girdileri'!AC23,ROUNDUP('Proje girdileri'!AD23/'Ayarlar'!$B$7,0))/(52/12),0)),9-6&lt;'Proje girdileri'!AH23),POWER(1-'Proje girdileri'!AT23,9-6),0)+IF(AND(7&gt;IF('Ayarlar'!$B$7&lt;=0,99,ROUNDUP(MAX('Proje girdileri'!AC23,ROUNDUP('Proje girdileri'!AD23/'Ayarlar'!$B$7,0))/(52/12),0)),9-7&lt;'Proje girdileri'!AH23),POWER(1-'Proje girdileri'!AT23,9-7),0)+IF(AND(8&gt;IF('Ayarlar'!$B$7&lt;=0,99,ROUNDUP(MAX('Proje girdileri'!AC23,ROUNDUP('Proje girdileri'!AD23/'Ayarlar'!$B$7,0))/(52/12),0)),9-8&lt;'Proje girdileri'!AH23),POWER(1-'Proje girdileri'!AT23,9-8),0)+IF(AND(9&gt;IF('Ayarlar'!$B$7&lt;=0,99,ROUNDUP(MAX('Proje girdileri'!AC23,ROUNDUP('Proje girdileri'!AD23/'Ayarlar'!$B$7,0))/(52/12),0)),9-9&lt;'Proje girdileri'!AH23),POWER(1-'Proje girdileri'!AT23,9-9),0)),IF(9&gt;IF('Ayarlar'!$B$7&lt;=0,99,ROUNDUP(MAX('Proje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K23" s="24" t="n">
        <x:f>IF(10&gt;'Ayarlar'!$B$6,0,IF(MAX(0,'Ayarlar'!$B$6-IF('Ayarlar'!$B$7&lt;=0,99,ROUNDUP(MAX('Proje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girdileri'!AD23/'Ayarlar'!$B$7,0))/(52/12),0)),10-1&lt;'Proje girdileri'!AH23),POWER(1-'Proje girdileri'!AT23,10-1),0)+IF(AND(2&gt;IF('Ayarlar'!$B$7&lt;=0,99,ROUNDUP(MAX('Proje girdileri'!AC23,ROUNDUP('Proje girdileri'!AD23/'Ayarlar'!$B$7,0))/(52/12),0)),10-2&lt;'Proje girdileri'!AH23),POWER(1-'Proje girdileri'!AT23,10-2),0)+IF(AND(3&gt;IF('Ayarlar'!$B$7&lt;=0,99,ROUNDUP(MAX('Proje girdileri'!AC23,ROUNDUP('Proje girdileri'!AD23/'Ayarlar'!$B$7,0))/(52/12),0)),10-3&lt;'Proje girdileri'!AH23),POWER(1-'Proje girdileri'!AT23,10-3),0)+IF(AND(4&gt;IF('Ayarlar'!$B$7&lt;=0,99,ROUNDUP(MAX('Proje girdileri'!AC23,ROUNDUP('Proje girdileri'!AD23/'Ayarlar'!$B$7,0))/(52/12),0)),10-4&lt;'Proje girdileri'!AH23),POWER(1-'Proje girdileri'!AT23,10-4),0)+IF(AND(5&gt;IF('Ayarlar'!$B$7&lt;=0,99,ROUNDUP(MAX('Proje girdileri'!AC23,ROUNDUP('Proje girdileri'!AD23/'Ayarlar'!$B$7,0))/(52/12),0)),10-5&lt;'Proje girdileri'!AH23),POWER(1-'Proje girdileri'!AT23,10-5),0)+IF(AND(6&gt;IF('Ayarlar'!$B$7&lt;=0,99,ROUNDUP(MAX('Proje girdileri'!AC23,ROUNDUP('Proje girdileri'!AD23/'Ayarlar'!$B$7,0))/(52/12),0)),10-6&lt;'Proje girdileri'!AH23),POWER(1-'Proje girdileri'!AT23,10-6),0)+IF(AND(7&gt;IF('Ayarlar'!$B$7&lt;=0,99,ROUNDUP(MAX('Proje girdileri'!AC23,ROUNDUP('Proje girdileri'!AD23/'Ayarlar'!$B$7,0))/(52/12),0)),10-7&lt;'Proje girdileri'!AH23),POWER(1-'Proje girdileri'!AT23,10-7),0)+IF(AND(8&gt;IF('Ayarlar'!$B$7&lt;=0,99,ROUNDUP(MAX('Proje girdileri'!AC23,ROUNDUP('Proje girdileri'!AD23/'Ayarlar'!$B$7,0))/(52/12),0)),10-8&lt;'Proje girdileri'!AH23),POWER(1-'Proje girdileri'!AT23,10-8),0)+IF(AND(9&gt;IF('Ayarlar'!$B$7&lt;=0,99,ROUNDUP(MAX('Proje girdileri'!AC23,ROUNDUP('Proje girdileri'!AD23/'Ayarlar'!$B$7,0))/(52/12),0)),10-9&lt;'Proje girdileri'!AH23),POWER(1-'Proje girdileri'!AT23,10-9),0)+IF(AND(10&gt;IF('Ayarlar'!$B$7&lt;=0,99,ROUNDUP(MAX('Proje girdileri'!AC23,ROUNDUP('Proje girdileri'!AD23/'Ayarlar'!$B$7,0))/(52/12),0)),10-10&lt;'Proje girdileri'!AH23),POWER(1-'Proje girdileri'!AT23,10-10),0)),IF(10&gt;IF('Ayarlar'!$B$7&lt;=0,99,ROUNDUP(MAX('Proje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L23" s="24" t="n">
        <x:f>IF(11&gt;'Ayarlar'!$B$6,0,IF(MAX(0,'Ayarlar'!$B$6-IF('Ayarlar'!$B$7&lt;=0,99,ROUNDUP(MAX('Proje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girdileri'!AD23/'Ayarlar'!$B$7,0))/(52/12),0)),11-1&lt;'Proje girdileri'!AH23),POWER(1-'Proje girdileri'!AT23,11-1),0)+IF(AND(2&gt;IF('Ayarlar'!$B$7&lt;=0,99,ROUNDUP(MAX('Proje girdileri'!AC23,ROUNDUP('Proje girdileri'!AD23/'Ayarlar'!$B$7,0))/(52/12),0)),11-2&lt;'Proje girdileri'!AH23),POWER(1-'Proje girdileri'!AT23,11-2),0)+IF(AND(3&gt;IF('Ayarlar'!$B$7&lt;=0,99,ROUNDUP(MAX('Proje girdileri'!AC23,ROUNDUP('Proje girdileri'!AD23/'Ayarlar'!$B$7,0))/(52/12),0)),11-3&lt;'Proje girdileri'!AH23),POWER(1-'Proje girdileri'!AT23,11-3),0)+IF(AND(4&gt;IF('Ayarlar'!$B$7&lt;=0,99,ROUNDUP(MAX('Proje girdileri'!AC23,ROUNDUP('Proje girdileri'!AD23/'Ayarlar'!$B$7,0))/(52/12),0)),11-4&lt;'Proje girdileri'!AH23),POWER(1-'Proje girdileri'!AT23,11-4),0)+IF(AND(5&gt;IF('Ayarlar'!$B$7&lt;=0,99,ROUNDUP(MAX('Proje girdileri'!AC23,ROUNDUP('Proje girdileri'!AD23/'Ayarlar'!$B$7,0))/(52/12),0)),11-5&lt;'Proje girdileri'!AH23),POWER(1-'Proje girdileri'!AT23,11-5),0)+IF(AND(6&gt;IF('Ayarlar'!$B$7&lt;=0,99,ROUNDUP(MAX('Proje girdileri'!AC23,ROUNDUP('Proje girdileri'!AD23/'Ayarlar'!$B$7,0))/(52/12),0)),11-6&lt;'Proje girdileri'!AH23),POWER(1-'Proje girdileri'!AT23,11-6),0)+IF(AND(7&gt;IF('Ayarlar'!$B$7&lt;=0,99,ROUNDUP(MAX('Proje girdileri'!AC23,ROUNDUP('Proje girdileri'!AD23/'Ayarlar'!$B$7,0))/(52/12),0)),11-7&lt;'Proje girdileri'!AH23),POWER(1-'Proje girdileri'!AT23,11-7),0)+IF(AND(8&gt;IF('Ayarlar'!$B$7&lt;=0,99,ROUNDUP(MAX('Proje girdileri'!AC23,ROUNDUP('Proje girdileri'!AD23/'Ayarlar'!$B$7,0))/(52/12),0)),11-8&lt;'Proje girdileri'!AH23),POWER(1-'Proje girdileri'!AT23,11-8),0)+IF(AND(9&gt;IF('Ayarlar'!$B$7&lt;=0,99,ROUNDUP(MAX('Proje girdileri'!AC23,ROUNDUP('Proje girdileri'!AD23/'Ayarlar'!$B$7,0))/(52/12),0)),11-9&lt;'Proje girdileri'!AH23),POWER(1-'Proje girdileri'!AT23,11-9),0)+IF(AND(10&gt;IF('Ayarlar'!$B$7&lt;=0,99,ROUNDUP(MAX('Proje girdileri'!AC23,ROUNDUP('Proje girdileri'!AD23/'Ayarlar'!$B$7,0))/(52/12),0)),11-10&lt;'Proje girdileri'!AH23),POWER(1-'Proje girdileri'!AT23,11-10),0)+IF(AND(11&gt;IF('Ayarlar'!$B$7&lt;=0,99,ROUNDUP(MAX('Proje girdileri'!AC23,ROUNDUP('Proje girdileri'!AD23/'Ayarlar'!$B$7,0))/(52/12),0)),11-11&lt;'Proje girdileri'!AH23),POWER(1-'Proje girdileri'!AT23,11-11),0)),IF(11&gt;IF('Ayarlar'!$B$7&lt;=0,99,ROUNDUP(MAX('Proje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M23" s="24" t="n">
        <x:f>IF(12&gt;'Ayarlar'!$B$6,0,IF(MAX(0,'Ayarlar'!$B$6-IF('Ayarlar'!$B$7&lt;=0,99,ROUNDUP(MAX('Proje girdileri'!AC23,ROUNDUP('Proje girdileri'!AD23/'Ayarlar'!$B$7,0))/(52/12),0)))=0,0,'Hesap'!I23/MAX(0,'Ayarlar'!$B$6-IF('Ayarlar'!$B$7&lt;=0,99,ROUNDUP(MAX('Proje girdileri'!AC23,ROUNDUP('Proje girdileri'!AD23/'Ayarlar'!$B$7,0))/(52/12),0)))*IF('Proje girdileri'!C23="recurring",(IF(AND(1&gt;IF('Ayarlar'!$B$7&lt;=0,99,ROUNDUP(MAX('Proje girdileri'!AC23,ROUNDUP('Proje girdileri'!AD23/'Ayarlar'!$B$7,0))/(52/12),0)),12-1&lt;'Proje girdileri'!AH23),POWER(1-'Proje girdileri'!AT23,12-1),0)+IF(AND(2&gt;IF('Ayarlar'!$B$7&lt;=0,99,ROUNDUP(MAX('Proje girdileri'!AC23,ROUNDUP('Proje girdileri'!AD23/'Ayarlar'!$B$7,0))/(52/12),0)),12-2&lt;'Proje girdileri'!AH23),POWER(1-'Proje girdileri'!AT23,12-2),0)+IF(AND(3&gt;IF('Ayarlar'!$B$7&lt;=0,99,ROUNDUP(MAX('Proje girdileri'!AC23,ROUNDUP('Proje girdileri'!AD23/'Ayarlar'!$B$7,0))/(52/12),0)),12-3&lt;'Proje girdileri'!AH23),POWER(1-'Proje girdileri'!AT23,12-3),0)+IF(AND(4&gt;IF('Ayarlar'!$B$7&lt;=0,99,ROUNDUP(MAX('Proje girdileri'!AC23,ROUNDUP('Proje girdileri'!AD23/'Ayarlar'!$B$7,0))/(52/12),0)),12-4&lt;'Proje girdileri'!AH23),POWER(1-'Proje girdileri'!AT23,12-4),0)+IF(AND(5&gt;IF('Ayarlar'!$B$7&lt;=0,99,ROUNDUP(MAX('Proje girdileri'!AC23,ROUNDUP('Proje girdileri'!AD23/'Ayarlar'!$B$7,0))/(52/12),0)),12-5&lt;'Proje girdileri'!AH23),POWER(1-'Proje girdileri'!AT23,12-5),0)+IF(AND(6&gt;IF('Ayarlar'!$B$7&lt;=0,99,ROUNDUP(MAX('Proje girdileri'!AC23,ROUNDUP('Proje girdileri'!AD23/'Ayarlar'!$B$7,0))/(52/12),0)),12-6&lt;'Proje girdileri'!AH23),POWER(1-'Proje girdileri'!AT23,12-6),0)+IF(AND(7&gt;IF('Ayarlar'!$B$7&lt;=0,99,ROUNDUP(MAX('Proje girdileri'!AC23,ROUNDUP('Proje girdileri'!AD23/'Ayarlar'!$B$7,0))/(52/12),0)),12-7&lt;'Proje girdileri'!AH23),POWER(1-'Proje girdileri'!AT23,12-7),0)+IF(AND(8&gt;IF('Ayarlar'!$B$7&lt;=0,99,ROUNDUP(MAX('Proje girdileri'!AC23,ROUNDUP('Proje girdileri'!AD23/'Ayarlar'!$B$7,0))/(52/12),0)),12-8&lt;'Proje girdileri'!AH23),POWER(1-'Proje girdileri'!AT23,12-8),0)+IF(AND(9&gt;IF('Ayarlar'!$B$7&lt;=0,99,ROUNDUP(MAX('Proje girdileri'!AC23,ROUNDUP('Proje girdileri'!AD23/'Ayarlar'!$B$7,0))/(52/12),0)),12-9&lt;'Proje girdileri'!AH23),POWER(1-'Proje girdileri'!AT23,12-9),0)+IF(AND(10&gt;IF('Ayarlar'!$B$7&lt;=0,99,ROUNDUP(MAX('Proje girdileri'!AC23,ROUNDUP('Proje girdileri'!AD23/'Ayarlar'!$B$7,0))/(52/12),0)),12-10&lt;'Proje girdileri'!AH23),POWER(1-'Proje girdileri'!AT23,12-10),0)+IF(AND(11&gt;IF('Ayarlar'!$B$7&lt;=0,99,ROUNDUP(MAX('Proje girdileri'!AC23,ROUNDUP('Proje girdileri'!AD23/'Ayarlar'!$B$7,0))/(52/12),0)),12-11&lt;'Proje girdileri'!AH23),POWER(1-'Proje girdileri'!AT23,12-11),0)+IF(AND(12&gt;IF('Ayarlar'!$B$7&lt;=0,99,ROUNDUP(MAX('Proje girdileri'!AC23,ROUNDUP('Proje girdileri'!AD23/'Ayarlar'!$B$7,0))/(52/12),0)),12-12&lt;'Proje girdileri'!AH23),POWER(1-'Proje girdileri'!AT23,12-12),0)),IF(12&gt;IF('Ayarlar'!$B$7&lt;=0,99,ROUNDUP(MAX('Proje girdileri'!AC23,ROUNDUP('Proje girdileri'!AD23/'Ayarlar'!$B$7,0))/(52/12),0)),1,0))*('Proje girdileri'!Y23*(1-'Proje girdileri'!AA23-'Proje girdileri'!AB23)-'Proje girdileri'!Z23))-'Proje girdileri'!AJ23)</x:f>
        <x:v>0</x:v>
      </x:c>
      <x:c r="N23" s="24" t="n">
        <x:f>SUM(B23:M23)</x:f>
        <x:v>0</x:v>
      </x:c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</x:row>
    <x:row r="24" ht="24" customHeight="1">
      <x:c r="A24" s="2" t="str">
        <x:f>'Hesap'!B24</x:f>
        <x:v>Eklenti keşif paketi</x:v>
      </x:c>
      <x:c r="B24" s="24" t="n">
        <x:f>IF(1&gt;'Ayarlar'!$B$6,0,IF(MAX(0,'Ayarlar'!$B$6-IF('Ayarlar'!$B$7&lt;=0,99,ROUNDUP(MAX('Proje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girdileri'!AD24/'Ayarlar'!$B$7,0))/(52/12),0)),1-1&lt;'Proje girdileri'!AH24),POWER(1-'Proje girdileri'!AT24,1-1),0)),IF(1&gt;IF('Ayarlar'!$B$7&lt;=0,99,ROUNDUP(MAX('Proje girdileri'!AC24,ROUNDUP('Proje girdileri'!AD24/'Ayarlar'!$B$7,0))/(52/12),0)),1,0))*('Proje girdileri'!Y24*(1-'Proje girdileri'!AA24-'Proje girdileri'!AB24)-'Proje girdileri'!Z24))-'Proje girdileri'!AJ24-'Proje girdileri'!AI24)</x:f>
        <x:v>-83</x:v>
      </x:c>
      <x:c r="C24" s="24" t="n">
        <x:f>IF(2&gt;'Ayarlar'!$B$6,0,IF(MAX(0,'Ayarlar'!$B$6-IF('Ayarlar'!$B$7&lt;=0,99,ROUNDUP(MAX('Proje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girdileri'!AD24/'Ayarlar'!$B$7,0))/(52/12),0)),2-1&lt;'Proje girdileri'!AH24),POWER(1-'Proje girdileri'!AT24,2-1),0)+IF(AND(2&gt;IF('Ayarlar'!$B$7&lt;=0,99,ROUNDUP(MAX('Proje girdileri'!AC24,ROUNDUP('Proje girdileri'!AD24/'Ayarlar'!$B$7,0))/(52/12),0)),2-2&lt;'Proje girdileri'!AH24),POWER(1-'Proje girdileri'!AT24,2-2),0)),IF(2&gt;IF('Ayarlar'!$B$7&lt;=0,99,ROUNDUP(MAX('Proje girdileri'!AC24,ROUNDUP('Proje girdileri'!AD24/'Ayarlar'!$B$7,0))/(52/12),0)),1,0))*('Proje girdileri'!Y24*(1-'Proje girdileri'!AA24-'Proje girdileri'!AB24)-'Proje girdileri'!Z24))-'Proje girdileri'!AJ24)</x:f>
        <x:v>-8</x:v>
      </x:c>
      <x:c r="D24" s="24" t="n">
        <x:f>IF(3&gt;'Ayarlar'!$B$6,0,IF(MAX(0,'Ayarlar'!$B$6-IF('Ayarlar'!$B$7&lt;=0,99,ROUNDUP(MAX('Proje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girdileri'!AD24/'Ayarlar'!$B$7,0))/(52/12),0)),3-1&lt;'Proje girdileri'!AH24),POWER(1-'Proje girdileri'!AT24,3-1),0)+IF(AND(2&gt;IF('Ayarlar'!$B$7&lt;=0,99,ROUNDUP(MAX('Proje girdileri'!AC24,ROUNDUP('Proje girdileri'!AD24/'Ayarlar'!$B$7,0))/(52/12),0)),3-2&lt;'Proje girdileri'!AH24),POWER(1-'Proje girdileri'!AT24,3-2),0)+IF(AND(3&gt;IF('Ayarlar'!$B$7&lt;=0,99,ROUNDUP(MAX('Proje girdileri'!AC24,ROUNDUP('Proje girdileri'!AD24/'Ayarlar'!$B$7,0))/(52/12),0)),3-3&lt;'Proje girdileri'!AH24),POWER(1-'Proje girdileri'!AT24,3-3),0)),IF(3&gt;IF('Ayarlar'!$B$7&lt;=0,99,ROUNDUP(MAX('Proje girdileri'!AC24,ROUNDUP('Proje girdileri'!AD24/'Ayarlar'!$B$7,0))/(52/12),0)),1,0))*('Proje girdileri'!Y24*(1-'Proje girdileri'!AA24-'Proje girdileri'!AB24)-'Proje girdileri'!Z24))-'Proje girdileri'!AJ24)</x:f>
        <x:v>116.12499999999997</x:v>
      </x:c>
      <x:c r="E24" s="24" t="n">
        <x:f>IF(4&gt;'Ayarlar'!$B$6,0,IF(MAX(0,'Ayarlar'!$B$6-IF('Ayarlar'!$B$7&lt;=0,99,ROUNDUP(MAX('Proje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girdileri'!AD24/'Ayarlar'!$B$7,0))/(52/12),0)),4-1&lt;'Proje girdileri'!AH24),POWER(1-'Proje girdileri'!AT24,4-1),0)+IF(AND(2&gt;IF('Ayarlar'!$B$7&lt;=0,99,ROUNDUP(MAX('Proje girdileri'!AC24,ROUNDUP('Proje girdileri'!AD24/'Ayarlar'!$B$7,0))/(52/12),0)),4-2&lt;'Proje girdileri'!AH24),POWER(1-'Proje girdileri'!AT24,4-2),0)+IF(AND(3&gt;IF('Ayarlar'!$B$7&lt;=0,99,ROUNDUP(MAX('Proje girdileri'!AC24,ROUNDUP('Proje girdileri'!AD24/'Ayarlar'!$B$7,0))/(52/12),0)),4-3&lt;'Proje girdileri'!AH24),POWER(1-'Proje girdileri'!AT24,4-3),0)+IF(AND(4&gt;IF('Ayarlar'!$B$7&lt;=0,99,ROUNDUP(MAX('Proje girdileri'!AC24,ROUNDUP('Proje girdileri'!AD24/'Ayarlar'!$B$7,0))/(52/12),0)),4-4&lt;'Proje girdileri'!AH24),POWER(1-'Proje girdileri'!AT24,4-4),0)),IF(4&gt;IF('Ayarlar'!$B$7&lt;=0,99,ROUNDUP(MAX('Proje girdileri'!AC24,ROUNDUP('Proje girdileri'!AD24/'Ayarlar'!$B$7,0))/(52/12),0)),1,0))*('Proje girdileri'!Y24*(1-'Proje girdileri'!AA24-'Proje girdileri'!AB24)-'Proje girdileri'!Z24))-'Proje girdileri'!AJ24)</x:f>
        <x:v>116.12499999999997</x:v>
      </x:c>
      <x:c r="F24" s="24" t="n">
        <x:f>IF(5&gt;'Ayarlar'!$B$6,0,IF(MAX(0,'Ayarlar'!$B$6-IF('Ayarlar'!$B$7&lt;=0,99,ROUNDUP(MAX('Proje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girdileri'!AD24/'Ayarlar'!$B$7,0))/(52/12),0)),5-1&lt;'Proje girdileri'!AH24),POWER(1-'Proje girdileri'!AT24,5-1),0)+IF(AND(2&gt;IF('Ayarlar'!$B$7&lt;=0,99,ROUNDUP(MAX('Proje girdileri'!AC24,ROUNDUP('Proje girdileri'!AD24/'Ayarlar'!$B$7,0))/(52/12),0)),5-2&lt;'Proje girdileri'!AH24),POWER(1-'Proje girdileri'!AT24,5-2),0)+IF(AND(3&gt;IF('Ayarlar'!$B$7&lt;=0,99,ROUNDUP(MAX('Proje girdileri'!AC24,ROUNDUP('Proje girdileri'!AD24/'Ayarlar'!$B$7,0))/(52/12),0)),5-3&lt;'Proje girdileri'!AH24),POWER(1-'Proje girdileri'!AT24,5-3),0)+IF(AND(4&gt;IF('Ayarlar'!$B$7&lt;=0,99,ROUNDUP(MAX('Proje girdileri'!AC24,ROUNDUP('Proje girdileri'!AD24/'Ayarlar'!$B$7,0))/(52/12),0)),5-4&lt;'Proje girdileri'!AH24),POWER(1-'Proje girdileri'!AT24,5-4),0)+IF(AND(5&gt;IF('Ayarlar'!$B$7&lt;=0,99,ROUNDUP(MAX('Proje girdileri'!AC24,ROUNDUP('Proje girdileri'!AD24/'Ayarlar'!$B$7,0))/(52/12),0)),5-5&lt;'Proje girdileri'!AH24),POWER(1-'Proje girdileri'!AT24,5-5),0)),IF(5&gt;IF('Ayarlar'!$B$7&lt;=0,99,ROUNDUP(MAX('Proje girdileri'!AC24,ROUNDUP('Proje girdileri'!AD24/'Ayarlar'!$B$7,0))/(52/12),0)),1,0))*('Proje girdileri'!Y24*(1-'Proje girdileri'!AA24-'Proje girdileri'!AB24)-'Proje girdileri'!Z24))-'Proje girdileri'!AJ24)</x:f>
        <x:v>116.12499999999997</x:v>
      </x:c>
      <x:c r="G24" s="24" t="n">
        <x:f>IF(6&gt;'Ayarlar'!$B$6,0,IF(MAX(0,'Ayarlar'!$B$6-IF('Ayarlar'!$B$7&lt;=0,99,ROUNDUP(MAX('Proje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girdileri'!AD24/'Ayarlar'!$B$7,0))/(52/12),0)),6-1&lt;'Proje girdileri'!AH24),POWER(1-'Proje girdileri'!AT24,6-1),0)+IF(AND(2&gt;IF('Ayarlar'!$B$7&lt;=0,99,ROUNDUP(MAX('Proje girdileri'!AC24,ROUNDUP('Proje girdileri'!AD24/'Ayarlar'!$B$7,0))/(52/12),0)),6-2&lt;'Proje girdileri'!AH24),POWER(1-'Proje girdileri'!AT24,6-2),0)+IF(AND(3&gt;IF('Ayarlar'!$B$7&lt;=0,99,ROUNDUP(MAX('Proje girdileri'!AC24,ROUNDUP('Proje girdileri'!AD24/'Ayarlar'!$B$7,0))/(52/12),0)),6-3&lt;'Proje girdileri'!AH24),POWER(1-'Proje girdileri'!AT24,6-3),0)+IF(AND(4&gt;IF('Ayarlar'!$B$7&lt;=0,99,ROUNDUP(MAX('Proje girdileri'!AC24,ROUNDUP('Proje girdileri'!AD24/'Ayarlar'!$B$7,0))/(52/12),0)),6-4&lt;'Proje girdileri'!AH24),POWER(1-'Proje girdileri'!AT24,6-4),0)+IF(AND(5&gt;IF('Ayarlar'!$B$7&lt;=0,99,ROUNDUP(MAX('Proje girdileri'!AC24,ROUNDUP('Proje girdileri'!AD24/'Ayarlar'!$B$7,0))/(52/12),0)),6-5&lt;'Proje girdileri'!AH24),POWER(1-'Proje girdileri'!AT24,6-5),0)+IF(AND(6&gt;IF('Ayarlar'!$B$7&lt;=0,99,ROUNDUP(MAX('Proje girdileri'!AC24,ROUNDUP('Proje girdileri'!AD24/'Ayarlar'!$B$7,0))/(52/12),0)),6-6&lt;'Proje girdileri'!AH24),POWER(1-'Proje girdileri'!AT24,6-6),0)),IF(6&gt;IF('Ayarlar'!$B$7&lt;=0,99,ROUNDUP(MAX('Proje girdileri'!AC24,ROUNDUP('Proje girdileri'!AD24/'Ayarlar'!$B$7,0))/(52/12),0)),1,0))*('Proje girdileri'!Y24*(1-'Proje girdileri'!AA24-'Proje girdileri'!AB24)-'Proje girdileri'!Z24))-'Proje girdileri'!AJ24)</x:f>
        <x:v>116.12499999999997</x:v>
      </x:c>
      <x:c r="H24" s="24" t="n">
        <x:f>IF(7&gt;'Ayarlar'!$B$6,0,IF(MAX(0,'Ayarlar'!$B$6-IF('Ayarlar'!$B$7&lt;=0,99,ROUNDUP(MAX('Proje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girdileri'!AD24/'Ayarlar'!$B$7,0))/(52/12),0)),7-1&lt;'Proje girdileri'!AH24),POWER(1-'Proje girdileri'!AT24,7-1),0)+IF(AND(2&gt;IF('Ayarlar'!$B$7&lt;=0,99,ROUNDUP(MAX('Proje girdileri'!AC24,ROUNDUP('Proje girdileri'!AD24/'Ayarlar'!$B$7,0))/(52/12),0)),7-2&lt;'Proje girdileri'!AH24),POWER(1-'Proje girdileri'!AT24,7-2),0)+IF(AND(3&gt;IF('Ayarlar'!$B$7&lt;=0,99,ROUNDUP(MAX('Proje girdileri'!AC24,ROUNDUP('Proje girdileri'!AD24/'Ayarlar'!$B$7,0))/(52/12),0)),7-3&lt;'Proje girdileri'!AH24),POWER(1-'Proje girdileri'!AT24,7-3),0)+IF(AND(4&gt;IF('Ayarlar'!$B$7&lt;=0,99,ROUNDUP(MAX('Proje girdileri'!AC24,ROUNDUP('Proje girdileri'!AD24/'Ayarlar'!$B$7,0))/(52/12),0)),7-4&lt;'Proje girdileri'!AH24),POWER(1-'Proje girdileri'!AT24,7-4),0)+IF(AND(5&gt;IF('Ayarlar'!$B$7&lt;=0,99,ROUNDUP(MAX('Proje girdileri'!AC24,ROUNDUP('Proje girdileri'!AD24/'Ayarlar'!$B$7,0))/(52/12),0)),7-5&lt;'Proje girdileri'!AH24),POWER(1-'Proje girdileri'!AT24,7-5),0)+IF(AND(6&gt;IF('Ayarlar'!$B$7&lt;=0,99,ROUNDUP(MAX('Proje girdileri'!AC24,ROUNDUP('Proje girdileri'!AD24/'Ayarlar'!$B$7,0))/(52/12),0)),7-6&lt;'Proje girdileri'!AH24),POWER(1-'Proje girdileri'!AT24,7-6),0)+IF(AND(7&gt;IF('Ayarlar'!$B$7&lt;=0,99,ROUNDUP(MAX('Proje girdileri'!AC24,ROUNDUP('Proje girdileri'!AD24/'Ayarlar'!$B$7,0))/(52/12),0)),7-7&lt;'Proje girdileri'!AH24),POWER(1-'Proje girdileri'!AT24,7-7),0)),IF(7&gt;IF('Ayarlar'!$B$7&lt;=0,99,ROUNDUP(MAX('Proje girdileri'!AC24,ROUNDUP('Proje girdileri'!AD24/'Ayarlar'!$B$7,0))/(52/12),0)),1,0))*('Proje girdileri'!Y24*(1-'Proje girdileri'!AA24-'Proje girdileri'!AB24)-'Proje girdileri'!Z24))-'Proje girdileri'!AJ24)</x:f>
        <x:v>0</x:v>
      </x:c>
      <x:c r="I24" s="24" t="n">
        <x:f>IF(8&gt;'Ayarlar'!$B$6,0,IF(MAX(0,'Ayarlar'!$B$6-IF('Ayarlar'!$B$7&lt;=0,99,ROUNDUP(MAX('Proje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girdileri'!AD24/'Ayarlar'!$B$7,0))/(52/12),0)),8-1&lt;'Proje girdileri'!AH24),POWER(1-'Proje girdileri'!AT24,8-1),0)+IF(AND(2&gt;IF('Ayarlar'!$B$7&lt;=0,99,ROUNDUP(MAX('Proje girdileri'!AC24,ROUNDUP('Proje girdileri'!AD24/'Ayarlar'!$B$7,0))/(52/12),0)),8-2&lt;'Proje girdileri'!AH24),POWER(1-'Proje girdileri'!AT24,8-2),0)+IF(AND(3&gt;IF('Ayarlar'!$B$7&lt;=0,99,ROUNDUP(MAX('Proje girdileri'!AC24,ROUNDUP('Proje girdileri'!AD24/'Ayarlar'!$B$7,0))/(52/12),0)),8-3&lt;'Proje girdileri'!AH24),POWER(1-'Proje girdileri'!AT24,8-3),0)+IF(AND(4&gt;IF('Ayarlar'!$B$7&lt;=0,99,ROUNDUP(MAX('Proje girdileri'!AC24,ROUNDUP('Proje girdileri'!AD24/'Ayarlar'!$B$7,0))/(52/12),0)),8-4&lt;'Proje girdileri'!AH24),POWER(1-'Proje girdileri'!AT24,8-4),0)+IF(AND(5&gt;IF('Ayarlar'!$B$7&lt;=0,99,ROUNDUP(MAX('Proje girdileri'!AC24,ROUNDUP('Proje girdileri'!AD24/'Ayarlar'!$B$7,0))/(52/12),0)),8-5&lt;'Proje girdileri'!AH24),POWER(1-'Proje girdileri'!AT24,8-5),0)+IF(AND(6&gt;IF('Ayarlar'!$B$7&lt;=0,99,ROUNDUP(MAX('Proje girdileri'!AC24,ROUNDUP('Proje girdileri'!AD24/'Ayarlar'!$B$7,0))/(52/12),0)),8-6&lt;'Proje girdileri'!AH24),POWER(1-'Proje girdileri'!AT24,8-6),0)+IF(AND(7&gt;IF('Ayarlar'!$B$7&lt;=0,99,ROUNDUP(MAX('Proje girdileri'!AC24,ROUNDUP('Proje girdileri'!AD24/'Ayarlar'!$B$7,0))/(52/12),0)),8-7&lt;'Proje girdileri'!AH24),POWER(1-'Proje girdileri'!AT24,8-7),0)+IF(AND(8&gt;IF('Ayarlar'!$B$7&lt;=0,99,ROUNDUP(MAX('Proje girdileri'!AC24,ROUNDUP('Proje girdileri'!AD24/'Ayarlar'!$B$7,0))/(52/12),0)),8-8&lt;'Proje girdileri'!AH24),POWER(1-'Proje girdileri'!AT24,8-8),0)),IF(8&gt;IF('Ayarlar'!$B$7&lt;=0,99,ROUNDUP(MAX('Proje girdileri'!AC24,ROUNDUP('Proje girdileri'!AD24/'Ayarlar'!$B$7,0))/(52/12),0)),1,0))*('Proje girdileri'!Y24*(1-'Proje girdileri'!AA24-'Proje girdileri'!AB24)-'Proje girdileri'!Z24))-'Proje girdileri'!AJ24)</x:f>
        <x:v>0</x:v>
      </x:c>
      <x:c r="J24" s="24" t="n">
        <x:f>IF(9&gt;'Ayarlar'!$B$6,0,IF(MAX(0,'Ayarlar'!$B$6-IF('Ayarlar'!$B$7&lt;=0,99,ROUNDUP(MAX('Proje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girdileri'!AD24/'Ayarlar'!$B$7,0))/(52/12),0)),9-1&lt;'Proje girdileri'!AH24),POWER(1-'Proje girdileri'!AT24,9-1),0)+IF(AND(2&gt;IF('Ayarlar'!$B$7&lt;=0,99,ROUNDUP(MAX('Proje girdileri'!AC24,ROUNDUP('Proje girdileri'!AD24/'Ayarlar'!$B$7,0))/(52/12),0)),9-2&lt;'Proje girdileri'!AH24),POWER(1-'Proje girdileri'!AT24,9-2),0)+IF(AND(3&gt;IF('Ayarlar'!$B$7&lt;=0,99,ROUNDUP(MAX('Proje girdileri'!AC24,ROUNDUP('Proje girdileri'!AD24/'Ayarlar'!$B$7,0))/(52/12),0)),9-3&lt;'Proje girdileri'!AH24),POWER(1-'Proje girdileri'!AT24,9-3),0)+IF(AND(4&gt;IF('Ayarlar'!$B$7&lt;=0,99,ROUNDUP(MAX('Proje girdileri'!AC24,ROUNDUP('Proje girdileri'!AD24/'Ayarlar'!$B$7,0))/(52/12),0)),9-4&lt;'Proje girdileri'!AH24),POWER(1-'Proje girdileri'!AT24,9-4),0)+IF(AND(5&gt;IF('Ayarlar'!$B$7&lt;=0,99,ROUNDUP(MAX('Proje girdileri'!AC24,ROUNDUP('Proje girdileri'!AD24/'Ayarlar'!$B$7,0))/(52/12),0)),9-5&lt;'Proje girdileri'!AH24),POWER(1-'Proje girdileri'!AT24,9-5),0)+IF(AND(6&gt;IF('Ayarlar'!$B$7&lt;=0,99,ROUNDUP(MAX('Proje girdileri'!AC24,ROUNDUP('Proje girdileri'!AD24/'Ayarlar'!$B$7,0))/(52/12),0)),9-6&lt;'Proje girdileri'!AH24),POWER(1-'Proje girdileri'!AT24,9-6),0)+IF(AND(7&gt;IF('Ayarlar'!$B$7&lt;=0,99,ROUNDUP(MAX('Proje girdileri'!AC24,ROUNDUP('Proje girdileri'!AD24/'Ayarlar'!$B$7,0))/(52/12),0)),9-7&lt;'Proje girdileri'!AH24),POWER(1-'Proje girdileri'!AT24,9-7),0)+IF(AND(8&gt;IF('Ayarlar'!$B$7&lt;=0,99,ROUNDUP(MAX('Proje girdileri'!AC24,ROUNDUP('Proje girdileri'!AD24/'Ayarlar'!$B$7,0))/(52/12),0)),9-8&lt;'Proje girdileri'!AH24),POWER(1-'Proje girdileri'!AT24,9-8),0)+IF(AND(9&gt;IF('Ayarlar'!$B$7&lt;=0,99,ROUNDUP(MAX('Proje girdileri'!AC24,ROUNDUP('Proje girdileri'!AD24/'Ayarlar'!$B$7,0))/(52/12),0)),9-9&lt;'Proje girdileri'!AH24),POWER(1-'Proje girdileri'!AT24,9-9),0)),IF(9&gt;IF('Ayarlar'!$B$7&lt;=0,99,ROUNDUP(MAX('Proje girdileri'!AC24,ROUNDUP('Proje girdileri'!AD24/'Ayarlar'!$B$7,0))/(52/12),0)),1,0))*('Proje girdileri'!Y24*(1-'Proje girdileri'!AA24-'Proje girdileri'!AB24)-'Proje girdileri'!Z24))-'Proje girdileri'!AJ24)</x:f>
        <x:v>0</x:v>
      </x:c>
      <x:c r="K24" s="24" t="n">
        <x:f>IF(10&gt;'Ayarlar'!$B$6,0,IF(MAX(0,'Ayarlar'!$B$6-IF('Ayarlar'!$B$7&lt;=0,99,ROUNDUP(MAX('Proje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girdileri'!AD24/'Ayarlar'!$B$7,0))/(52/12),0)),10-1&lt;'Proje girdileri'!AH24),POWER(1-'Proje girdileri'!AT24,10-1),0)+IF(AND(2&gt;IF('Ayarlar'!$B$7&lt;=0,99,ROUNDUP(MAX('Proje girdileri'!AC24,ROUNDUP('Proje girdileri'!AD24/'Ayarlar'!$B$7,0))/(52/12),0)),10-2&lt;'Proje girdileri'!AH24),POWER(1-'Proje girdileri'!AT24,10-2),0)+IF(AND(3&gt;IF('Ayarlar'!$B$7&lt;=0,99,ROUNDUP(MAX('Proje girdileri'!AC24,ROUNDUP('Proje girdileri'!AD24/'Ayarlar'!$B$7,0))/(52/12),0)),10-3&lt;'Proje girdileri'!AH24),POWER(1-'Proje girdileri'!AT24,10-3),0)+IF(AND(4&gt;IF('Ayarlar'!$B$7&lt;=0,99,ROUNDUP(MAX('Proje girdileri'!AC24,ROUNDUP('Proje girdileri'!AD24/'Ayarlar'!$B$7,0))/(52/12),0)),10-4&lt;'Proje girdileri'!AH24),POWER(1-'Proje girdileri'!AT24,10-4),0)+IF(AND(5&gt;IF('Ayarlar'!$B$7&lt;=0,99,ROUNDUP(MAX('Proje girdileri'!AC24,ROUNDUP('Proje girdileri'!AD24/'Ayarlar'!$B$7,0))/(52/12),0)),10-5&lt;'Proje girdileri'!AH24),POWER(1-'Proje girdileri'!AT24,10-5),0)+IF(AND(6&gt;IF('Ayarlar'!$B$7&lt;=0,99,ROUNDUP(MAX('Proje girdileri'!AC24,ROUNDUP('Proje girdileri'!AD24/'Ayarlar'!$B$7,0))/(52/12),0)),10-6&lt;'Proje girdileri'!AH24),POWER(1-'Proje girdileri'!AT24,10-6),0)+IF(AND(7&gt;IF('Ayarlar'!$B$7&lt;=0,99,ROUNDUP(MAX('Proje girdileri'!AC24,ROUNDUP('Proje girdileri'!AD24/'Ayarlar'!$B$7,0))/(52/12),0)),10-7&lt;'Proje girdileri'!AH24),POWER(1-'Proje girdileri'!AT24,10-7),0)+IF(AND(8&gt;IF('Ayarlar'!$B$7&lt;=0,99,ROUNDUP(MAX('Proje girdileri'!AC24,ROUNDUP('Proje girdileri'!AD24/'Ayarlar'!$B$7,0))/(52/12),0)),10-8&lt;'Proje girdileri'!AH24),POWER(1-'Proje girdileri'!AT24,10-8),0)+IF(AND(9&gt;IF('Ayarlar'!$B$7&lt;=0,99,ROUNDUP(MAX('Proje girdileri'!AC24,ROUNDUP('Proje girdileri'!AD24/'Ayarlar'!$B$7,0))/(52/12),0)),10-9&lt;'Proje girdileri'!AH24),POWER(1-'Proje girdileri'!AT24,10-9),0)+IF(AND(10&gt;IF('Ayarlar'!$B$7&lt;=0,99,ROUNDUP(MAX('Proje girdileri'!AC24,ROUNDUP('Proje girdileri'!AD24/'Ayarlar'!$B$7,0))/(52/12),0)),10-10&lt;'Proje girdileri'!AH24),POWER(1-'Proje girdileri'!AT24,10-10),0)),IF(10&gt;IF('Ayarlar'!$B$7&lt;=0,99,ROUNDUP(MAX('Proje girdileri'!AC24,ROUNDUP('Proje girdileri'!AD24/'Ayarlar'!$B$7,0))/(52/12),0)),1,0))*('Proje girdileri'!Y24*(1-'Proje girdileri'!AA24-'Proje girdileri'!AB24)-'Proje girdileri'!Z24))-'Proje girdileri'!AJ24)</x:f>
        <x:v>0</x:v>
      </x:c>
      <x:c r="L24" s="24" t="n">
        <x:f>IF(11&gt;'Ayarlar'!$B$6,0,IF(MAX(0,'Ayarlar'!$B$6-IF('Ayarlar'!$B$7&lt;=0,99,ROUNDUP(MAX('Proje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girdileri'!AD24/'Ayarlar'!$B$7,0))/(52/12),0)),11-1&lt;'Proje girdileri'!AH24),POWER(1-'Proje girdileri'!AT24,11-1),0)+IF(AND(2&gt;IF('Ayarlar'!$B$7&lt;=0,99,ROUNDUP(MAX('Proje girdileri'!AC24,ROUNDUP('Proje girdileri'!AD24/'Ayarlar'!$B$7,0))/(52/12),0)),11-2&lt;'Proje girdileri'!AH24),POWER(1-'Proje girdileri'!AT24,11-2),0)+IF(AND(3&gt;IF('Ayarlar'!$B$7&lt;=0,99,ROUNDUP(MAX('Proje girdileri'!AC24,ROUNDUP('Proje girdileri'!AD24/'Ayarlar'!$B$7,0))/(52/12),0)),11-3&lt;'Proje girdileri'!AH24),POWER(1-'Proje girdileri'!AT24,11-3),0)+IF(AND(4&gt;IF('Ayarlar'!$B$7&lt;=0,99,ROUNDUP(MAX('Proje girdileri'!AC24,ROUNDUP('Proje girdileri'!AD24/'Ayarlar'!$B$7,0))/(52/12),0)),11-4&lt;'Proje girdileri'!AH24),POWER(1-'Proje girdileri'!AT24,11-4),0)+IF(AND(5&gt;IF('Ayarlar'!$B$7&lt;=0,99,ROUNDUP(MAX('Proje girdileri'!AC24,ROUNDUP('Proje girdileri'!AD24/'Ayarlar'!$B$7,0))/(52/12),0)),11-5&lt;'Proje girdileri'!AH24),POWER(1-'Proje girdileri'!AT24,11-5),0)+IF(AND(6&gt;IF('Ayarlar'!$B$7&lt;=0,99,ROUNDUP(MAX('Proje girdileri'!AC24,ROUNDUP('Proje girdileri'!AD24/'Ayarlar'!$B$7,0))/(52/12),0)),11-6&lt;'Proje girdileri'!AH24),POWER(1-'Proje girdileri'!AT24,11-6),0)+IF(AND(7&gt;IF('Ayarlar'!$B$7&lt;=0,99,ROUNDUP(MAX('Proje girdileri'!AC24,ROUNDUP('Proje girdileri'!AD24/'Ayarlar'!$B$7,0))/(52/12),0)),11-7&lt;'Proje girdileri'!AH24),POWER(1-'Proje girdileri'!AT24,11-7),0)+IF(AND(8&gt;IF('Ayarlar'!$B$7&lt;=0,99,ROUNDUP(MAX('Proje girdileri'!AC24,ROUNDUP('Proje girdileri'!AD24/'Ayarlar'!$B$7,0))/(52/12),0)),11-8&lt;'Proje girdileri'!AH24),POWER(1-'Proje girdileri'!AT24,11-8),0)+IF(AND(9&gt;IF('Ayarlar'!$B$7&lt;=0,99,ROUNDUP(MAX('Proje girdileri'!AC24,ROUNDUP('Proje girdileri'!AD24/'Ayarlar'!$B$7,0))/(52/12),0)),11-9&lt;'Proje girdileri'!AH24),POWER(1-'Proje girdileri'!AT24,11-9),0)+IF(AND(10&gt;IF('Ayarlar'!$B$7&lt;=0,99,ROUNDUP(MAX('Proje girdileri'!AC24,ROUNDUP('Proje girdileri'!AD24/'Ayarlar'!$B$7,0))/(52/12),0)),11-10&lt;'Proje girdileri'!AH24),POWER(1-'Proje girdileri'!AT24,11-10),0)+IF(AND(11&gt;IF('Ayarlar'!$B$7&lt;=0,99,ROUNDUP(MAX('Proje girdileri'!AC24,ROUNDUP('Proje girdileri'!AD24/'Ayarlar'!$B$7,0))/(52/12),0)),11-11&lt;'Proje girdileri'!AH24),POWER(1-'Proje girdileri'!AT24,11-11),0)),IF(11&gt;IF('Ayarlar'!$B$7&lt;=0,99,ROUNDUP(MAX('Proje girdileri'!AC24,ROUNDUP('Proje girdileri'!AD24/'Ayarlar'!$B$7,0))/(52/12),0)),1,0))*('Proje girdileri'!Y24*(1-'Proje girdileri'!AA24-'Proje girdileri'!AB24)-'Proje girdileri'!Z24))-'Proje girdileri'!AJ24)</x:f>
        <x:v>0</x:v>
      </x:c>
      <x:c r="M24" s="24" t="n">
        <x:f>IF(12&gt;'Ayarlar'!$B$6,0,IF(MAX(0,'Ayarlar'!$B$6-IF('Ayarlar'!$B$7&lt;=0,99,ROUNDUP(MAX('Proje girdileri'!AC24,ROUNDUP('Proje girdileri'!AD24/'Ayarlar'!$B$7,0))/(52/12),0)))=0,0,'Hesap'!I24/MAX(0,'Ayarlar'!$B$6-IF('Ayarlar'!$B$7&lt;=0,99,ROUNDUP(MAX('Proje girdileri'!AC24,ROUNDUP('Proje girdileri'!AD24/'Ayarlar'!$B$7,0))/(52/12),0)))*IF('Proje girdileri'!C24="recurring",(IF(AND(1&gt;IF('Ayarlar'!$B$7&lt;=0,99,ROUNDUP(MAX('Proje girdileri'!AC24,ROUNDUP('Proje girdileri'!AD24/'Ayarlar'!$B$7,0))/(52/12),0)),12-1&lt;'Proje girdileri'!AH24),POWER(1-'Proje girdileri'!AT24,12-1),0)+IF(AND(2&gt;IF('Ayarlar'!$B$7&lt;=0,99,ROUNDUP(MAX('Proje girdileri'!AC24,ROUNDUP('Proje girdileri'!AD24/'Ayarlar'!$B$7,0))/(52/12),0)),12-2&lt;'Proje girdileri'!AH24),POWER(1-'Proje girdileri'!AT24,12-2),0)+IF(AND(3&gt;IF('Ayarlar'!$B$7&lt;=0,99,ROUNDUP(MAX('Proje girdileri'!AC24,ROUNDUP('Proje girdileri'!AD24/'Ayarlar'!$B$7,0))/(52/12),0)),12-3&lt;'Proje girdileri'!AH24),POWER(1-'Proje girdileri'!AT24,12-3),0)+IF(AND(4&gt;IF('Ayarlar'!$B$7&lt;=0,99,ROUNDUP(MAX('Proje girdileri'!AC24,ROUNDUP('Proje girdileri'!AD24/'Ayarlar'!$B$7,0))/(52/12),0)),12-4&lt;'Proje girdileri'!AH24),POWER(1-'Proje girdileri'!AT24,12-4),0)+IF(AND(5&gt;IF('Ayarlar'!$B$7&lt;=0,99,ROUNDUP(MAX('Proje girdileri'!AC24,ROUNDUP('Proje girdileri'!AD24/'Ayarlar'!$B$7,0))/(52/12),0)),12-5&lt;'Proje girdileri'!AH24),POWER(1-'Proje girdileri'!AT24,12-5),0)+IF(AND(6&gt;IF('Ayarlar'!$B$7&lt;=0,99,ROUNDUP(MAX('Proje girdileri'!AC24,ROUNDUP('Proje girdileri'!AD24/'Ayarlar'!$B$7,0))/(52/12),0)),12-6&lt;'Proje girdileri'!AH24),POWER(1-'Proje girdileri'!AT24,12-6),0)+IF(AND(7&gt;IF('Ayarlar'!$B$7&lt;=0,99,ROUNDUP(MAX('Proje girdileri'!AC24,ROUNDUP('Proje girdileri'!AD24/'Ayarlar'!$B$7,0))/(52/12),0)),12-7&lt;'Proje girdileri'!AH24),POWER(1-'Proje girdileri'!AT24,12-7),0)+IF(AND(8&gt;IF('Ayarlar'!$B$7&lt;=0,99,ROUNDUP(MAX('Proje girdileri'!AC24,ROUNDUP('Proje girdileri'!AD24/'Ayarlar'!$B$7,0))/(52/12),0)),12-8&lt;'Proje girdileri'!AH24),POWER(1-'Proje girdileri'!AT24,12-8),0)+IF(AND(9&gt;IF('Ayarlar'!$B$7&lt;=0,99,ROUNDUP(MAX('Proje girdileri'!AC24,ROUNDUP('Proje girdileri'!AD24/'Ayarlar'!$B$7,0))/(52/12),0)),12-9&lt;'Proje girdileri'!AH24),POWER(1-'Proje girdileri'!AT24,12-9),0)+IF(AND(10&gt;IF('Ayarlar'!$B$7&lt;=0,99,ROUNDUP(MAX('Proje girdileri'!AC24,ROUNDUP('Proje girdileri'!AD24/'Ayarlar'!$B$7,0))/(52/12),0)),12-10&lt;'Proje girdileri'!AH24),POWER(1-'Proje girdileri'!AT24,12-10),0)+IF(AND(11&gt;IF('Ayarlar'!$B$7&lt;=0,99,ROUNDUP(MAX('Proje girdileri'!AC24,ROUNDUP('Proje girdileri'!AD24/'Ayarlar'!$B$7,0))/(52/12),0)),12-11&lt;'Proje girdileri'!AH24),POWER(1-'Proje girdileri'!AT24,12-11),0)+IF(AND(12&gt;IF('Ayarlar'!$B$7&lt;=0,99,ROUNDUP(MAX('Proje girdileri'!AC24,ROUNDUP('Proje girdileri'!AD24/'Ayarlar'!$B$7,0))/(52/12),0)),12-12&lt;'Proje girdileri'!AH24),POWER(1-'Proje girdileri'!AT24,12-12),0)),IF(12&gt;IF('Ayarlar'!$B$7&lt;=0,99,ROUNDUP(MAX('Proje girdileri'!AC24,ROUNDUP('Proje girdileri'!AD24/'Ayarlar'!$B$7,0))/(52/12),0)),1,0))*('Proje girdileri'!Y24*(1-'Proje girdileri'!AA24-'Proje girdileri'!AB24)-'Proje girdileri'!Z24))-'Proje girdileri'!AJ24)</x:f>
        <x:v>0</x:v>
      </x:c>
      <x:c r="N24" s="24" t="n">
        <x:f>SUM(B24:M24)</x:f>
        <x:v>373.4999999999999</x:v>
      </x:c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</x:row>
    <x:row r="25" ht="24" customHeight="1">
      <x:c r="A25" s="2" t="str">
        <x:f>'Hesap'!B25</x:f>
        <x:v>Kapsam dışı kayıt</x:v>
      </x:c>
      <x:c r="B25" s="24" t="n">
        <x:f>IF(1&gt;'Ayarlar'!$B$6,0,IF(MAX(0,'Ayarlar'!$B$6-IF('Ayarlar'!$B$7&lt;=0,99,ROUNDUP(MAX('Proje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girdileri'!AD25/'Ayarlar'!$B$7,0))/(52/12),0)),1-1&lt;'Proje girdileri'!AH25),POWER(1-'Proje girdileri'!AT25,1-1),0)),IF(1&gt;IF('Ayarlar'!$B$7&lt;=0,99,ROUNDUP(MAX('Proje girdileri'!AC25,ROUNDUP('Proje girdileri'!AD25/'Ayarlar'!$B$7,0))/(52/12),0)),1,0))*('Proje girdileri'!Y25*(1-'Proje girdileri'!AA25-'Proje girdileri'!AB25)-'Proje girdileri'!Z25))-'Proje girdileri'!AJ25-'Proje girdileri'!AI25)</x:f>
        <x:v>0</x:v>
      </x:c>
      <x:c r="C25" s="24" t="n">
        <x:f>IF(2&gt;'Ayarlar'!$B$6,0,IF(MAX(0,'Ayarlar'!$B$6-IF('Ayarlar'!$B$7&lt;=0,99,ROUNDUP(MAX('Proje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girdileri'!AD25/'Ayarlar'!$B$7,0))/(52/12),0)),2-1&lt;'Proje girdileri'!AH25),POWER(1-'Proje girdileri'!AT25,2-1),0)+IF(AND(2&gt;IF('Ayarlar'!$B$7&lt;=0,99,ROUNDUP(MAX('Proje girdileri'!AC25,ROUNDUP('Proje girdileri'!AD25/'Ayarlar'!$B$7,0))/(52/12),0)),2-2&lt;'Proje girdileri'!AH25),POWER(1-'Proje girdileri'!AT25,2-2),0)),IF(2&gt;IF('Ayarlar'!$B$7&lt;=0,99,ROUNDUP(MAX('Proje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D25" s="24" t="n">
        <x:f>IF(3&gt;'Ayarlar'!$B$6,0,IF(MAX(0,'Ayarlar'!$B$6-IF('Ayarlar'!$B$7&lt;=0,99,ROUNDUP(MAX('Proje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girdileri'!AD25/'Ayarlar'!$B$7,0))/(52/12),0)),3-1&lt;'Proje girdileri'!AH25),POWER(1-'Proje girdileri'!AT25,3-1),0)+IF(AND(2&gt;IF('Ayarlar'!$B$7&lt;=0,99,ROUNDUP(MAX('Proje girdileri'!AC25,ROUNDUP('Proje girdileri'!AD25/'Ayarlar'!$B$7,0))/(52/12),0)),3-2&lt;'Proje girdileri'!AH25),POWER(1-'Proje girdileri'!AT25,3-2),0)+IF(AND(3&gt;IF('Ayarlar'!$B$7&lt;=0,99,ROUNDUP(MAX('Proje girdileri'!AC25,ROUNDUP('Proje girdileri'!AD25/'Ayarlar'!$B$7,0))/(52/12),0)),3-3&lt;'Proje girdileri'!AH25),POWER(1-'Proje girdileri'!AT25,3-3),0)),IF(3&gt;IF('Ayarlar'!$B$7&lt;=0,99,ROUNDUP(MAX('Proje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E25" s="24" t="n">
        <x:f>IF(4&gt;'Ayarlar'!$B$6,0,IF(MAX(0,'Ayarlar'!$B$6-IF('Ayarlar'!$B$7&lt;=0,99,ROUNDUP(MAX('Proje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girdileri'!AD25/'Ayarlar'!$B$7,0))/(52/12),0)),4-1&lt;'Proje girdileri'!AH25),POWER(1-'Proje girdileri'!AT25,4-1),0)+IF(AND(2&gt;IF('Ayarlar'!$B$7&lt;=0,99,ROUNDUP(MAX('Proje girdileri'!AC25,ROUNDUP('Proje girdileri'!AD25/'Ayarlar'!$B$7,0))/(52/12),0)),4-2&lt;'Proje girdileri'!AH25),POWER(1-'Proje girdileri'!AT25,4-2),0)+IF(AND(3&gt;IF('Ayarlar'!$B$7&lt;=0,99,ROUNDUP(MAX('Proje girdileri'!AC25,ROUNDUP('Proje girdileri'!AD25/'Ayarlar'!$B$7,0))/(52/12),0)),4-3&lt;'Proje girdileri'!AH25),POWER(1-'Proje girdileri'!AT25,4-3),0)+IF(AND(4&gt;IF('Ayarlar'!$B$7&lt;=0,99,ROUNDUP(MAX('Proje girdileri'!AC25,ROUNDUP('Proje girdileri'!AD25/'Ayarlar'!$B$7,0))/(52/12),0)),4-4&lt;'Proje girdileri'!AH25),POWER(1-'Proje girdileri'!AT25,4-4),0)),IF(4&gt;IF('Ayarlar'!$B$7&lt;=0,99,ROUNDUP(MAX('Proje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F25" s="24" t="n">
        <x:f>IF(5&gt;'Ayarlar'!$B$6,0,IF(MAX(0,'Ayarlar'!$B$6-IF('Ayarlar'!$B$7&lt;=0,99,ROUNDUP(MAX('Proje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girdileri'!AD25/'Ayarlar'!$B$7,0))/(52/12),0)),5-1&lt;'Proje girdileri'!AH25),POWER(1-'Proje girdileri'!AT25,5-1),0)+IF(AND(2&gt;IF('Ayarlar'!$B$7&lt;=0,99,ROUNDUP(MAX('Proje girdileri'!AC25,ROUNDUP('Proje girdileri'!AD25/'Ayarlar'!$B$7,0))/(52/12),0)),5-2&lt;'Proje girdileri'!AH25),POWER(1-'Proje girdileri'!AT25,5-2),0)+IF(AND(3&gt;IF('Ayarlar'!$B$7&lt;=0,99,ROUNDUP(MAX('Proje girdileri'!AC25,ROUNDUP('Proje girdileri'!AD25/'Ayarlar'!$B$7,0))/(52/12),0)),5-3&lt;'Proje girdileri'!AH25),POWER(1-'Proje girdileri'!AT25,5-3),0)+IF(AND(4&gt;IF('Ayarlar'!$B$7&lt;=0,99,ROUNDUP(MAX('Proje girdileri'!AC25,ROUNDUP('Proje girdileri'!AD25/'Ayarlar'!$B$7,0))/(52/12),0)),5-4&lt;'Proje girdileri'!AH25),POWER(1-'Proje girdileri'!AT25,5-4),0)+IF(AND(5&gt;IF('Ayarlar'!$B$7&lt;=0,99,ROUNDUP(MAX('Proje girdileri'!AC25,ROUNDUP('Proje girdileri'!AD25/'Ayarlar'!$B$7,0))/(52/12),0)),5-5&lt;'Proje girdileri'!AH25),POWER(1-'Proje girdileri'!AT25,5-5),0)),IF(5&gt;IF('Ayarlar'!$B$7&lt;=0,99,ROUNDUP(MAX('Proje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G25" s="24" t="n">
        <x:f>IF(6&gt;'Ayarlar'!$B$6,0,IF(MAX(0,'Ayarlar'!$B$6-IF('Ayarlar'!$B$7&lt;=0,99,ROUNDUP(MAX('Proje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girdileri'!AD25/'Ayarlar'!$B$7,0))/(52/12),0)),6-1&lt;'Proje girdileri'!AH25),POWER(1-'Proje girdileri'!AT25,6-1),0)+IF(AND(2&gt;IF('Ayarlar'!$B$7&lt;=0,99,ROUNDUP(MAX('Proje girdileri'!AC25,ROUNDUP('Proje girdileri'!AD25/'Ayarlar'!$B$7,0))/(52/12),0)),6-2&lt;'Proje girdileri'!AH25),POWER(1-'Proje girdileri'!AT25,6-2),0)+IF(AND(3&gt;IF('Ayarlar'!$B$7&lt;=0,99,ROUNDUP(MAX('Proje girdileri'!AC25,ROUNDUP('Proje girdileri'!AD25/'Ayarlar'!$B$7,0))/(52/12),0)),6-3&lt;'Proje girdileri'!AH25),POWER(1-'Proje girdileri'!AT25,6-3),0)+IF(AND(4&gt;IF('Ayarlar'!$B$7&lt;=0,99,ROUNDUP(MAX('Proje girdileri'!AC25,ROUNDUP('Proje girdileri'!AD25/'Ayarlar'!$B$7,0))/(52/12),0)),6-4&lt;'Proje girdileri'!AH25),POWER(1-'Proje girdileri'!AT25,6-4),0)+IF(AND(5&gt;IF('Ayarlar'!$B$7&lt;=0,99,ROUNDUP(MAX('Proje girdileri'!AC25,ROUNDUP('Proje girdileri'!AD25/'Ayarlar'!$B$7,0))/(52/12),0)),6-5&lt;'Proje girdileri'!AH25),POWER(1-'Proje girdileri'!AT25,6-5),0)+IF(AND(6&gt;IF('Ayarlar'!$B$7&lt;=0,99,ROUNDUP(MAX('Proje girdileri'!AC25,ROUNDUP('Proje girdileri'!AD25/'Ayarlar'!$B$7,0))/(52/12),0)),6-6&lt;'Proje girdileri'!AH25),POWER(1-'Proje girdileri'!AT25,6-6),0)),IF(6&gt;IF('Ayarlar'!$B$7&lt;=0,99,ROUNDUP(MAX('Proje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H25" s="24" t="n">
        <x:f>IF(7&gt;'Ayarlar'!$B$6,0,IF(MAX(0,'Ayarlar'!$B$6-IF('Ayarlar'!$B$7&lt;=0,99,ROUNDUP(MAX('Proje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girdileri'!AD25/'Ayarlar'!$B$7,0))/(52/12),0)),7-1&lt;'Proje girdileri'!AH25),POWER(1-'Proje girdileri'!AT25,7-1),0)+IF(AND(2&gt;IF('Ayarlar'!$B$7&lt;=0,99,ROUNDUP(MAX('Proje girdileri'!AC25,ROUNDUP('Proje girdileri'!AD25/'Ayarlar'!$B$7,0))/(52/12),0)),7-2&lt;'Proje girdileri'!AH25),POWER(1-'Proje girdileri'!AT25,7-2),0)+IF(AND(3&gt;IF('Ayarlar'!$B$7&lt;=0,99,ROUNDUP(MAX('Proje girdileri'!AC25,ROUNDUP('Proje girdileri'!AD25/'Ayarlar'!$B$7,0))/(52/12),0)),7-3&lt;'Proje girdileri'!AH25),POWER(1-'Proje girdileri'!AT25,7-3),0)+IF(AND(4&gt;IF('Ayarlar'!$B$7&lt;=0,99,ROUNDUP(MAX('Proje girdileri'!AC25,ROUNDUP('Proje girdileri'!AD25/'Ayarlar'!$B$7,0))/(52/12),0)),7-4&lt;'Proje girdileri'!AH25),POWER(1-'Proje girdileri'!AT25,7-4),0)+IF(AND(5&gt;IF('Ayarlar'!$B$7&lt;=0,99,ROUNDUP(MAX('Proje girdileri'!AC25,ROUNDUP('Proje girdileri'!AD25/'Ayarlar'!$B$7,0))/(52/12),0)),7-5&lt;'Proje girdileri'!AH25),POWER(1-'Proje girdileri'!AT25,7-5),0)+IF(AND(6&gt;IF('Ayarlar'!$B$7&lt;=0,99,ROUNDUP(MAX('Proje girdileri'!AC25,ROUNDUP('Proje girdileri'!AD25/'Ayarlar'!$B$7,0))/(52/12),0)),7-6&lt;'Proje girdileri'!AH25),POWER(1-'Proje girdileri'!AT25,7-6),0)+IF(AND(7&gt;IF('Ayarlar'!$B$7&lt;=0,99,ROUNDUP(MAX('Proje girdileri'!AC25,ROUNDUP('Proje girdileri'!AD25/'Ayarlar'!$B$7,0))/(52/12),0)),7-7&lt;'Proje girdileri'!AH25),POWER(1-'Proje girdileri'!AT25,7-7),0)),IF(7&gt;IF('Ayarlar'!$B$7&lt;=0,99,ROUNDUP(MAX('Proje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I25" s="24" t="n">
        <x:f>IF(8&gt;'Ayarlar'!$B$6,0,IF(MAX(0,'Ayarlar'!$B$6-IF('Ayarlar'!$B$7&lt;=0,99,ROUNDUP(MAX('Proje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girdileri'!AD25/'Ayarlar'!$B$7,0))/(52/12),0)),8-1&lt;'Proje girdileri'!AH25),POWER(1-'Proje girdileri'!AT25,8-1),0)+IF(AND(2&gt;IF('Ayarlar'!$B$7&lt;=0,99,ROUNDUP(MAX('Proje girdileri'!AC25,ROUNDUP('Proje girdileri'!AD25/'Ayarlar'!$B$7,0))/(52/12),0)),8-2&lt;'Proje girdileri'!AH25),POWER(1-'Proje girdileri'!AT25,8-2),0)+IF(AND(3&gt;IF('Ayarlar'!$B$7&lt;=0,99,ROUNDUP(MAX('Proje girdileri'!AC25,ROUNDUP('Proje girdileri'!AD25/'Ayarlar'!$B$7,0))/(52/12),0)),8-3&lt;'Proje girdileri'!AH25),POWER(1-'Proje girdileri'!AT25,8-3),0)+IF(AND(4&gt;IF('Ayarlar'!$B$7&lt;=0,99,ROUNDUP(MAX('Proje girdileri'!AC25,ROUNDUP('Proje girdileri'!AD25/'Ayarlar'!$B$7,0))/(52/12),0)),8-4&lt;'Proje girdileri'!AH25),POWER(1-'Proje girdileri'!AT25,8-4),0)+IF(AND(5&gt;IF('Ayarlar'!$B$7&lt;=0,99,ROUNDUP(MAX('Proje girdileri'!AC25,ROUNDUP('Proje girdileri'!AD25/'Ayarlar'!$B$7,0))/(52/12),0)),8-5&lt;'Proje girdileri'!AH25),POWER(1-'Proje girdileri'!AT25,8-5),0)+IF(AND(6&gt;IF('Ayarlar'!$B$7&lt;=0,99,ROUNDUP(MAX('Proje girdileri'!AC25,ROUNDUP('Proje girdileri'!AD25/'Ayarlar'!$B$7,0))/(52/12),0)),8-6&lt;'Proje girdileri'!AH25),POWER(1-'Proje girdileri'!AT25,8-6),0)+IF(AND(7&gt;IF('Ayarlar'!$B$7&lt;=0,99,ROUNDUP(MAX('Proje girdileri'!AC25,ROUNDUP('Proje girdileri'!AD25/'Ayarlar'!$B$7,0))/(52/12),0)),8-7&lt;'Proje girdileri'!AH25),POWER(1-'Proje girdileri'!AT25,8-7),0)+IF(AND(8&gt;IF('Ayarlar'!$B$7&lt;=0,99,ROUNDUP(MAX('Proje girdileri'!AC25,ROUNDUP('Proje girdileri'!AD25/'Ayarlar'!$B$7,0))/(52/12),0)),8-8&lt;'Proje girdileri'!AH25),POWER(1-'Proje girdileri'!AT25,8-8),0)),IF(8&gt;IF('Ayarlar'!$B$7&lt;=0,99,ROUNDUP(MAX('Proje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J25" s="24" t="n">
        <x:f>IF(9&gt;'Ayarlar'!$B$6,0,IF(MAX(0,'Ayarlar'!$B$6-IF('Ayarlar'!$B$7&lt;=0,99,ROUNDUP(MAX('Proje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girdileri'!AD25/'Ayarlar'!$B$7,0))/(52/12),0)),9-1&lt;'Proje girdileri'!AH25),POWER(1-'Proje girdileri'!AT25,9-1),0)+IF(AND(2&gt;IF('Ayarlar'!$B$7&lt;=0,99,ROUNDUP(MAX('Proje girdileri'!AC25,ROUNDUP('Proje girdileri'!AD25/'Ayarlar'!$B$7,0))/(52/12),0)),9-2&lt;'Proje girdileri'!AH25),POWER(1-'Proje girdileri'!AT25,9-2),0)+IF(AND(3&gt;IF('Ayarlar'!$B$7&lt;=0,99,ROUNDUP(MAX('Proje girdileri'!AC25,ROUNDUP('Proje girdileri'!AD25/'Ayarlar'!$B$7,0))/(52/12),0)),9-3&lt;'Proje girdileri'!AH25),POWER(1-'Proje girdileri'!AT25,9-3),0)+IF(AND(4&gt;IF('Ayarlar'!$B$7&lt;=0,99,ROUNDUP(MAX('Proje girdileri'!AC25,ROUNDUP('Proje girdileri'!AD25/'Ayarlar'!$B$7,0))/(52/12),0)),9-4&lt;'Proje girdileri'!AH25),POWER(1-'Proje girdileri'!AT25,9-4),0)+IF(AND(5&gt;IF('Ayarlar'!$B$7&lt;=0,99,ROUNDUP(MAX('Proje girdileri'!AC25,ROUNDUP('Proje girdileri'!AD25/'Ayarlar'!$B$7,0))/(52/12),0)),9-5&lt;'Proje girdileri'!AH25),POWER(1-'Proje girdileri'!AT25,9-5),0)+IF(AND(6&gt;IF('Ayarlar'!$B$7&lt;=0,99,ROUNDUP(MAX('Proje girdileri'!AC25,ROUNDUP('Proje girdileri'!AD25/'Ayarlar'!$B$7,0))/(52/12),0)),9-6&lt;'Proje girdileri'!AH25),POWER(1-'Proje girdileri'!AT25,9-6),0)+IF(AND(7&gt;IF('Ayarlar'!$B$7&lt;=0,99,ROUNDUP(MAX('Proje girdileri'!AC25,ROUNDUP('Proje girdileri'!AD25/'Ayarlar'!$B$7,0))/(52/12),0)),9-7&lt;'Proje girdileri'!AH25),POWER(1-'Proje girdileri'!AT25,9-7),0)+IF(AND(8&gt;IF('Ayarlar'!$B$7&lt;=0,99,ROUNDUP(MAX('Proje girdileri'!AC25,ROUNDUP('Proje girdileri'!AD25/'Ayarlar'!$B$7,0))/(52/12),0)),9-8&lt;'Proje girdileri'!AH25),POWER(1-'Proje girdileri'!AT25,9-8),0)+IF(AND(9&gt;IF('Ayarlar'!$B$7&lt;=0,99,ROUNDUP(MAX('Proje girdileri'!AC25,ROUNDUP('Proje girdileri'!AD25/'Ayarlar'!$B$7,0))/(52/12),0)),9-9&lt;'Proje girdileri'!AH25),POWER(1-'Proje girdileri'!AT25,9-9),0)),IF(9&gt;IF('Ayarlar'!$B$7&lt;=0,99,ROUNDUP(MAX('Proje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K25" s="24" t="n">
        <x:f>IF(10&gt;'Ayarlar'!$B$6,0,IF(MAX(0,'Ayarlar'!$B$6-IF('Ayarlar'!$B$7&lt;=0,99,ROUNDUP(MAX('Proje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girdileri'!AD25/'Ayarlar'!$B$7,0))/(52/12),0)),10-1&lt;'Proje girdileri'!AH25),POWER(1-'Proje girdileri'!AT25,10-1),0)+IF(AND(2&gt;IF('Ayarlar'!$B$7&lt;=0,99,ROUNDUP(MAX('Proje girdileri'!AC25,ROUNDUP('Proje girdileri'!AD25/'Ayarlar'!$B$7,0))/(52/12),0)),10-2&lt;'Proje girdileri'!AH25),POWER(1-'Proje girdileri'!AT25,10-2),0)+IF(AND(3&gt;IF('Ayarlar'!$B$7&lt;=0,99,ROUNDUP(MAX('Proje girdileri'!AC25,ROUNDUP('Proje girdileri'!AD25/'Ayarlar'!$B$7,0))/(52/12),0)),10-3&lt;'Proje girdileri'!AH25),POWER(1-'Proje girdileri'!AT25,10-3),0)+IF(AND(4&gt;IF('Ayarlar'!$B$7&lt;=0,99,ROUNDUP(MAX('Proje girdileri'!AC25,ROUNDUP('Proje girdileri'!AD25/'Ayarlar'!$B$7,0))/(52/12),0)),10-4&lt;'Proje girdileri'!AH25),POWER(1-'Proje girdileri'!AT25,10-4),0)+IF(AND(5&gt;IF('Ayarlar'!$B$7&lt;=0,99,ROUNDUP(MAX('Proje girdileri'!AC25,ROUNDUP('Proje girdileri'!AD25/'Ayarlar'!$B$7,0))/(52/12),0)),10-5&lt;'Proje girdileri'!AH25),POWER(1-'Proje girdileri'!AT25,10-5),0)+IF(AND(6&gt;IF('Ayarlar'!$B$7&lt;=0,99,ROUNDUP(MAX('Proje girdileri'!AC25,ROUNDUP('Proje girdileri'!AD25/'Ayarlar'!$B$7,0))/(52/12),0)),10-6&lt;'Proje girdileri'!AH25),POWER(1-'Proje girdileri'!AT25,10-6),0)+IF(AND(7&gt;IF('Ayarlar'!$B$7&lt;=0,99,ROUNDUP(MAX('Proje girdileri'!AC25,ROUNDUP('Proje girdileri'!AD25/'Ayarlar'!$B$7,0))/(52/12),0)),10-7&lt;'Proje girdileri'!AH25),POWER(1-'Proje girdileri'!AT25,10-7),0)+IF(AND(8&gt;IF('Ayarlar'!$B$7&lt;=0,99,ROUNDUP(MAX('Proje girdileri'!AC25,ROUNDUP('Proje girdileri'!AD25/'Ayarlar'!$B$7,0))/(52/12),0)),10-8&lt;'Proje girdileri'!AH25),POWER(1-'Proje girdileri'!AT25,10-8),0)+IF(AND(9&gt;IF('Ayarlar'!$B$7&lt;=0,99,ROUNDUP(MAX('Proje girdileri'!AC25,ROUNDUP('Proje girdileri'!AD25/'Ayarlar'!$B$7,0))/(52/12),0)),10-9&lt;'Proje girdileri'!AH25),POWER(1-'Proje girdileri'!AT25,10-9),0)+IF(AND(10&gt;IF('Ayarlar'!$B$7&lt;=0,99,ROUNDUP(MAX('Proje girdileri'!AC25,ROUNDUP('Proje girdileri'!AD25/'Ayarlar'!$B$7,0))/(52/12),0)),10-10&lt;'Proje girdileri'!AH25),POWER(1-'Proje girdileri'!AT25,10-10),0)),IF(10&gt;IF('Ayarlar'!$B$7&lt;=0,99,ROUNDUP(MAX('Proje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L25" s="24" t="n">
        <x:f>IF(11&gt;'Ayarlar'!$B$6,0,IF(MAX(0,'Ayarlar'!$B$6-IF('Ayarlar'!$B$7&lt;=0,99,ROUNDUP(MAX('Proje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girdileri'!AD25/'Ayarlar'!$B$7,0))/(52/12),0)),11-1&lt;'Proje girdileri'!AH25),POWER(1-'Proje girdileri'!AT25,11-1),0)+IF(AND(2&gt;IF('Ayarlar'!$B$7&lt;=0,99,ROUNDUP(MAX('Proje girdileri'!AC25,ROUNDUP('Proje girdileri'!AD25/'Ayarlar'!$B$7,0))/(52/12),0)),11-2&lt;'Proje girdileri'!AH25),POWER(1-'Proje girdileri'!AT25,11-2),0)+IF(AND(3&gt;IF('Ayarlar'!$B$7&lt;=0,99,ROUNDUP(MAX('Proje girdileri'!AC25,ROUNDUP('Proje girdileri'!AD25/'Ayarlar'!$B$7,0))/(52/12),0)),11-3&lt;'Proje girdileri'!AH25),POWER(1-'Proje girdileri'!AT25,11-3),0)+IF(AND(4&gt;IF('Ayarlar'!$B$7&lt;=0,99,ROUNDUP(MAX('Proje girdileri'!AC25,ROUNDUP('Proje girdileri'!AD25/'Ayarlar'!$B$7,0))/(52/12),0)),11-4&lt;'Proje girdileri'!AH25),POWER(1-'Proje girdileri'!AT25,11-4),0)+IF(AND(5&gt;IF('Ayarlar'!$B$7&lt;=0,99,ROUNDUP(MAX('Proje girdileri'!AC25,ROUNDUP('Proje girdileri'!AD25/'Ayarlar'!$B$7,0))/(52/12),0)),11-5&lt;'Proje girdileri'!AH25),POWER(1-'Proje girdileri'!AT25,11-5),0)+IF(AND(6&gt;IF('Ayarlar'!$B$7&lt;=0,99,ROUNDUP(MAX('Proje girdileri'!AC25,ROUNDUP('Proje girdileri'!AD25/'Ayarlar'!$B$7,0))/(52/12),0)),11-6&lt;'Proje girdileri'!AH25),POWER(1-'Proje girdileri'!AT25,11-6),0)+IF(AND(7&gt;IF('Ayarlar'!$B$7&lt;=0,99,ROUNDUP(MAX('Proje girdileri'!AC25,ROUNDUP('Proje girdileri'!AD25/'Ayarlar'!$B$7,0))/(52/12),0)),11-7&lt;'Proje girdileri'!AH25),POWER(1-'Proje girdileri'!AT25,11-7),0)+IF(AND(8&gt;IF('Ayarlar'!$B$7&lt;=0,99,ROUNDUP(MAX('Proje girdileri'!AC25,ROUNDUP('Proje girdileri'!AD25/'Ayarlar'!$B$7,0))/(52/12),0)),11-8&lt;'Proje girdileri'!AH25),POWER(1-'Proje girdileri'!AT25,11-8),0)+IF(AND(9&gt;IF('Ayarlar'!$B$7&lt;=0,99,ROUNDUP(MAX('Proje girdileri'!AC25,ROUNDUP('Proje girdileri'!AD25/'Ayarlar'!$B$7,0))/(52/12),0)),11-9&lt;'Proje girdileri'!AH25),POWER(1-'Proje girdileri'!AT25,11-9),0)+IF(AND(10&gt;IF('Ayarlar'!$B$7&lt;=0,99,ROUNDUP(MAX('Proje girdileri'!AC25,ROUNDUP('Proje girdileri'!AD25/'Ayarlar'!$B$7,0))/(52/12),0)),11-10&lt;'Proje girdileri'!AH25),POWER(1-'Proje girdileri'!AT25,11-10),0)+IF(AND(11&gt;IF('Ayarlar'!$B$7&lt;=0,99,ROUNDUP(MAX('Proje girdileri'!AC25,ROUNDUP('Proje girdileri'!AD25/'Ayarlar'!$B$7,0))/(52/12),0)),11-11&lt;'Proje girdileri'!AH25),POWER(1-'Proje girdileri'!AT25,11-11),0)),IF(11&gt;IF('Ayarlar'!$B$7&lt;=0,99,ROUNDUP(MAX('Proje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M25" s="24" t="n">
        <x:f>IF(12&gt;'Ayarlar'!$B$6,0,IF(MAX(0,'Ayarlar'!$B$6-IF('Ayarlar'!$B$7&lt;=0,99,ROUNDUP(MAX('Proje girdileri'!AC25,ROUNDUP('Proje girdileri'!AD25/'Ayarlar'!$B$7,0))/(52/12),0)))=0,0,'Hesap'!I25/MAX(0,'Ayarlar'!$B$6-IF('Ayarlar'!$B$7&lt;=0,99,ROUNDUP(MAX('Proje girdileri'!AC25,ROUNDUP('Proje girdileri'!AD25/'Ayarlar'!$B$7,0))/(52/12),0)))*IF('Proje girdileri'!C25="recurring",(IF(AND(1&gt;IF('Ayarlar'!$B$7&lt;=0,99,ROUNDUP(MAX('Proje girdileri'!AC25,ROUNDUP('Proje girdileri'!AD25/'Ayarlar'!$B$7,0))/(52/12),0)),12-1&lt;'Proje girdileri'!AH25),POWER(1-'Proje girdileri'!AT25,12-1),0)+IF(AND(2&gt;IF('Ayarlar'!$B$7&lt;=0,99,ROUNDUP(MAX('Proje girdileri'!AC25,ROUNDUP('Proje girdileri'!AD25/'Ayarlar'!$B$7,0))/(52/12),0)),12-2&lt;'Proje girdileri'!AH25),POWER(1-'Proje girdileri'!AT25,12-2),0)+IF(AND(3&gt;IF('Ayarlar'!$B$7&lt;=0,99,ROUNDUP(MAX('Proje girdileri'!AC25,ROUNDUP('Proje girdileri'!AD25/'Ayarlar'!$B$7,0))/(52/12),0)),12-3&lt;'Proje girdileri'!AH25),POWER(1-'Proje girdileri'!AT25,12-3),0)+IF(AND(4&gt;IF('Ayarlar'!$B$7&lt;=0,99,ROUNDUP(MAX('Proje girdileri'!AC25,ROUNDUP('Proje girdileri'!AD25/'Ayarlar'!$B$7,0))/(52/12),0)),12-4&lt;'Proje girdileri'!AH25),POWER(1-'Proje girdileri'!AT25,12-4),0)+IF(AND(5&gt;IF('Ayarlar'!$B$7&lt;=0,99,ROUNDUP(MAX('Proje girdileri'!AC25,ROUNDUP('Proje girdileri'!AD25/'Ayarlar'!$B$7,0))/(52/12),0)),12-5&lt;'Proje girdileri'!AH25),POWER(1-'Proje girdileri'!AT25,12-5),0)+IF(AND(6&gt;IF('Ayarlar'!$B$7&lt;=0,99,ROUNDUP(MAX('Proje girdileri'!AC25,ROUNDUP('Proje girdileri'!AD25/'Ayarlar'!$B$7,0))/(52/12),0)),12-6&lt;'Proje girdileri'!AH25),POWER(1-'Proje girdileri'!AT25,12-6),0)+IF(AND(7&gt;IF('Ayarlar'!$B$7&lt;=0,99,ROUNDUP(MAX('Proje girdileri'!AC25,ROUNDUP('Proje girdileri'!AD25/'Ayarlar'!$B$7,0))/(52/12),0)),12-7&lt;'Proje girdileri'!AH25),POWER(1-'Proje girdileri'!AT25,12-7),0)+IF(AND(8&gt;IF('Ayarlar'!$B$7&lt;=0,99,ROUNDUP(MAX('Proje girdileri'!AC25,ROUNDUP('Proje girdileri'!AD25/'Ayarlar'!$B$7,0))/(52/12),0)),12-8&lt;'Proje girdileri'!AH25),POWER(1-'Proje girdileri'!AT25,12-8),0)+IF(AND(9&gt;IF('Ayarlar'!$B$7&lt;=0,99,ROUNDUP(MAX('Proje girdileri'!AC25,ROUNDUP('Proje girdileri'!AD25/'Ayarlar'!$B$7,0))/(52/12),0)),12-9&lt;'Proje girdileri'!AH25),POWER(1-'Proje girdileri'!AT25,12-9),0)+IF(AND(10&gt;IF('Ayarlar'!$B$7&lt;=0,99,ROUNDUP(MAX('Proje girdileri'!AC25,ROUNDUP('Proje girdileri'!AD25/'Ayarlar'!$B$7,0))/(52/12),0)),12-10&lt;'Proje girdileri'!AH25),POWER(1-'Proje girdileri'!AT25,12-10),0)+IF(AND(11&gt;IF('Ayarlar'!$B$7&lt;=0,99,ROUNDUP(MAX('Proje girdileri'!AC25,ROUNDUP('Proje girdileri'!AD25/'Ayarlar'!$B$7,0))/(52/12),0)),12-11&lt;'Proje girdileri'!AH25),POWER(1-'Proje girdileri'!AT25,12-11),0)+IF(AND(12&gt;IF('Ayarlar'!$B$7&lt;=0,99,ROUNDUP(MAX('Proje girdileri'!AC25,ROUNDUP('Proje girdileri'!AD25/'Ayarlar'!$B$7,0))/(52/12),0)),12-12&lt;'Proje girdileri'!AH25),POWER(1-'Proje girdileri'!AT25,12-12),0)),IF(12&gt;IF('Ayarlar'!$B$7&lt;=0,99,ROUNDUP(MAX('Proje girdileri'!AC25,ROUNDUP('Proje girdileri'!AD25/'Ayarlar'!$B$7,0))/(52/12),0)),1,0))*('Proje girdileri'!Y25*(1-'Proje girdileri'!AA25-'Proje girdileri'!AB25)-'Proje girdileri'!Z25))-'Proje girdileri'!AJ25)</x:f>
        <x:v>0</x:v>
      </x:c>
      <x:c r="N25" s="24" t="n">
        <x:f>SUM(B25:M25)</x:f>
        <x:v>0</x:v>
      </x:c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</x:row>
    <x:row r="26" ht="24" customHeight="1">
      <x:c r="A26" s="2" t="str">
        <x:f>'Hesap'!B26</x:f>
        <x:v>Frontend Atlası</x:v>
      </x:c>
      <x:c r="B26" s="24" t="n">
        <x:f>IF(1&gt;'Ayarlar'!$B$6,0,IF(MAX(0,'Ayarlar'!$B$6-IF('Ayarlar'!$B$7&lt;=0,99,ROUNDUP(MAX('Proje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girdileri'!AD26/'Ayarlar'!$B$7,0))/(52/12),0)),1-1&lt;'Proje girdileri'!AH26),POWER(1-'Proje girdileri'!AT26,1-1),0)),IF(1&gt;IF('Ayarlar'!$B$7&lt;=0,99,ROUNDUP(MAX('Proje girdileri'!AC26,ROUNDUP('Proje girdileri'!AD26/'Ayarlar'!$B$7,0))/(52/12),0)),1,0))*('Proje girdileri'!Y26*(1-'Proje girdileri'!AA26-'Proje girdileri'!AB26)-'Proje girdileri'!Z26))-'Proje girdileri'!AJ26-'Proje girdileri'!AI26)</x:f>
        <x:v>-83</x:v>
      </x:c>
      <x:c r="C26" s="24" t="n">
        <x:f>IF(2&gt;'Ayarlar'!$B$6,0,IF(MAX(0,'Ayarlar'!$B$6-IF('Ayarlar'!$B$7&lt;=0,99,ROUNDUP(MAX('Proje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girdileri'!AD26/'Ayarlar'!$B$7,0))/(52/12),0)),2-1&lt;'Proje girdileri'!AH26),POWER(1-'Proje girdileri'!AT26,2-1),0)+IF(AND(2&gt;IF('Ayarlar'!$B$7&lt;=0,99,ROUNDUP(MAX('Proje girdileri'!AC26,ROUNDUP('Proje girdileri'!AD26/'Ayarlar'!$B$7,0))/(52/12),0)),2-2&lt;'Proje girdileri'!AH26),POWER(1-'Proje girdileri'!AT26,2-2),0)),IF(2&gt;IF('Ayarlar'!$B$7&lt;=0,99,ROUNDUP(MAX('Proje girdileri'!AC26,ROUNDUP('Proje girdileri'!AD26/'Ayarlar'!$B$7,0))/(52/12),0)),1,0))*('Proje girdileri'!Y26*(1-'Proje girdileri'!AA26-'Proje girdileri'!AB26)-'Proje girdileri'!Z26))-'Proje girdileri'!AJ26)</x:f>
        <x:v>-8</x:v>
      </x:c>
      <x:c r="D26" s="24" t="n">
        <x:f>IF(3&gt;'Ayarlar'!$B$6,0,IF(MAX(0,'Ayarlar'!$B$6-IF('Ayarlar'!$B$7&lt;=0,99,ROUNDUP(MAX('Proje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girdileri'!AD26/'Ayarlar'!$B$7,0))/(52/12),0)),3-1&lt;'Proje girdileri'!AH26),POWER(1-'Proje girdileri'!AT26,3-1),0)+IF(AND(2&gt;IF('Ayarlar'!$B$7&lt;=0,99,ROUNDUP(MAX('Proje girdileri'!AC26,ROUNDUP('Proje girdileri'!AD26/'Ayarlar'!$B$7,0))/(52/12),0)),3-2&lt;'Proje girdileri'!AH26),POWER(1-'Proje girdileri'!AT26,3-2),0)+IF(AND(3&gt;IF('Ayarlar'!$B$7&lt;=0,99,ROUNDUP(MAX('Proje girdileri'!AC26,ROUNDUP('Proje girdileri'!AD26/'Ayarlar'!$B$7,0))/(52/12),0)),3-3&lt;'Proje girdileri'!AH26),POWER(1-'Proje girdileri'!AT26,3-3),0)),IF(3&gt;IF('Ayarlar'!$B$7&lt;=0,99,ROUNDUP(MAX('Proje girdileri'!AC26,ROUNDUP('Proje girdileri'!AD26/'Ayarlar'!$B$7,0))/(52/12),0)),1,0))*('Proje girdileri'!Y26*(1-'Proje girdileri'!AA26-'Proje girdileri'!AB26)-'Proje girdileri'!Z26))-'Proje girdileri'!AJ26)</x:f>
        <x:v>116.12499999999997</x:v>
      </x:c>
      <x:c r="E26" s="24" t="n">
        <x:f>IF(4&gt;'Ayarlar'!$B$6,0,IF(MAX(0,'Ayarlar'!$B$6-IF('Ayarlar'!$B$7&lt;=0,99,ROUNDUP(MAX('Proje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girdileri'!AD26/'Ayarlar'!$B$7,0))/(52/12),0)),4-1&lt;'Proje girdileri'!AH26),POWER(1-'Proje girdileri'!AT26,4-1),0)+IF(AND(2&gt;IF('Ayarlar'!$B$7&lt;=0,99,ROUNDUP(MAX('Proje girdileri'!AC26,ROUNDUP('Proje girdileri'!AD26/'Ayarlar'!$B$7,0))/(52/12),0)),4-2&lt;'Proje girdileri'!AH26),POWER(1-'Proje girdileri'!AT26,4-2),0)+IF(AND(3&gt;IF('Ayarlar'!$B$7&lt;=0,99,ROUNDUP(MAX('Proje girdileri'!AC26,ROUNDUP('Proje girdileri'!AD26/'Ayarlar'!$B$7,0))/(52/12),0)),4-3&lt;'Proje girdileri'!AH26),POWER(1-'Proje girdileri'!AT26,4-3),0)+IF(AND(4&gt;IF('Ayarlar'!$B$7&lt;=0,99,ROUNDUP(MAX('Proje girdileri'!AC26,ROUNDUP('Proje girdileri'!AD26/'Ayarlar'!$B$7,0))/(52/12),0)),4-4&lt;'Proje girdileri'!AH26),POWER(1-'Proje girdileri'!AT26,4-4),0)),IF(4&gt;IF('Ayarlar'!$B$7&lt;=0,99,ROUNDUP(MAX('Proje girdileri'!AC26,ROUNDUP('Proje girdileri'!AD26/'Ayarlar'!$B$7,0))/(52/12),0)),1,0))*('Proje girdileri'!Y26*(1-'Proje girdileri'!AA26-'Proje girdileri'!AB26)-'Proje girdileri'!Z26))-'Proje girdileri'!AJ26)</x:f>
        <x:v>116.12499999999997</x:v>
      </x:c>
      <x:c r="F26" s="24" t="n">
        <x:f>IF(5&gt;'Ayarlar'!$B$6,0,IF(MAX(0,'Ayarlar'!$B$6-IF('Ayarlar'!$B$7&lt;=0,99,ROUNDUP(MAX('Proje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girdileri'!AD26/'Ayarlar'!$B$7,0))/(52/12),0)),5-1&lt;'Proje girdileri'!AH26),POWER(1-'Proje girdileri'!AT26,5-1),0)+IF(AND(2&gt;IF('Ayarlar'!$B$7&lt;=0,99,ROUNDUP(MAX('Proje girdileri'!AC26,ROUNDUP('Proje girdileri'!AD26/'Ayarlar'!$B$7,0))/(52/12),0)),5-2&lt;'Proje girdileri'!AH26),POWER(1-'Proje girdileri'!AT26,5-2),0)+IF(AND(3&gt;IF('Ayarlar'!$B$7&lt;=0,99,ROUNDUP(MAX('Proje girdileri'!AC26,ROUNDUP('Proje girdileri'!AD26/'Ayarlar'!$B$7,0))/(52/12),0)),5-3&lt;'Proje girdileri'!AH26),POWER(1-'Proje girdileri'!AT26,5-3),0)+IF(AND(4&gt;IF('Ayarlar'!$B$7&lt;=0,99,ROUNDUP(MAX('Proje girdileri'!AC26,ROUNDUP('Proje girdileri'!AD26/'Ayarlar'!$B$7,0))/(52/12),0)),5-4&lt;'Proje girdileri'!AH26),POWER(1-'Proje girdileri'!AT26,5-4),0)+IF(AND(5&gt;IF('Ayarlar'!$B$7&lt;=0,99,ROUNDUP(MAX('Proje girdileri'!AC26,ROUNDUP('Proje girdileri'!AD26/'Ayarlar'!$B$7,0))/(52/12),0)),5-5&lt;'Proje girdileri'!AH26),POWER(1-'Proje girdileri'!AT26,5-5),0)),IF(5&gt;IF('Ayarlar'!$B$7&lt;=0,99,ROUNDUP(MAX('Proje girdileri'!AC26,ROUNDUP('Proje girdileri'!AD26/'Ayarlar'!$B$7,0))/(52/12),0)),1,0))*('Proje girdileri'!Y26*(1-'Proje girdileri'!AA26-'Proje girdileri'!AB26)-'Proje girdileri'!Z26))-'Proje girdileri'!AJ26)</x:f>
        <x:v>116.12499999999997</x:v>
      </x:c>
      <x:c r="G26" s="24" t="n">
        <x:f>IF(6&gt;'Ayarlar'!$B$6,0,IF(MAX(0,'Ayarlar'!$B$6-IF('Ayarlar'!$B$7&lt;=0,99,ROUNDUP(MAX('Proje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girdileri'!AD26/'Ayarlar'!$B$7,0))/(52/12),0)),6-1&lt;'Proje girdileri'!AH26),POWER(1-'Proje girdileri'!AT26,6-1),0)+IF(AND(2&gt;IF('Ayarlar'!$B$7&lt;=0,99,ROUNDUP(MAX('Proje girdileri'!AC26,ROUNDUP('Proje girdileri'!AD26/'Ayarlar'!$B$7,0))/(52/12),0)),6-2&lt;'Proje girdileri'!AH26),POWER(1-'Proje girdileri'!AT26,6-2),0)+IF(AND(3&gt;IF('Ayarlar'!$B$7&lt;=0,99,ROUNDUP(MAX('Proje girdileri'!AC26,ROUNDUP('Proje girdileri'!AD26/'Ayarlar'!$B$7,0))/(52/12),0)),6-3&lt;'Proje girdileri'!AH26),POWER(1-'Proje girdileri'!AT26,6-3),0)+IF(AND(4&gt;IF('Ayarlar'!$B$7&lt;=0,99,ROUNDUP(MAX('Proje girdileri'!AC26,ROUNDUP('Proje girdileri'!AD26/'Ayarlar'!$B$7,0))/(52/12),0)),6-4&lt;'Proje girdileri'!AH26),POWER(1-'Proje girdileri'!AT26,6-4),0)+IF(AND(5&gt;IF('Ayarlar'!$B$7&lt;=0,99,ROUNDUP(MAX('Proje girdileri'!AC26,ROUNDUP('Proje girdileri'!AD26/'Ayarlar'!$B$7,0))/(52/12),0)),6-5&lt;'Proje girdileri'!AH26),POWER(1-'Proje girdileri'!AT26,6-5),0)+IF(AND(6&gt;IF('Ayarlar'!$B$7&lt;=0,99,ROUNDUP(MAX('Proje girdileri'!AC26,ROUNDUP('Proje girdileri'!AD26/'Ayarlar'!$B$7,0))/(52/12),0)),6-6&lt;'Proje girdileri'!AH26),POWER(1-'Proje girdileri'!AT26,6-6),0)),IF(6&gt;IF('Ayarlar'!$B$7&lt;=0,99,ROUNDUP(MAX('Proje girdileri'!AC26,ROUNDUP('Proje girdileri'!AD26/'Ayarlar'!$B$7,0))/(52/12),0)),1,0))*('Proje girdileri'!Y26*(1-'Proje girdileri'!AA26-'Proje girdileri'!AB26)-'Proje girdileri'!Z26))-'Proje girdileri'!AJ26)</x:f>
        <x:v>116.12499999999997</x:v>
      </x:c>
      <x:c r="H26" s="24" t="n">
        <x:f>IF(7&gt;'Ayarlar'!$B$6,0,IF(MAX(0,'Ayarlar'!$B$6-IF('Ayarlar'!$B$7&lt;=0,99,ROUNDUP(MAX('Proje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girdileri'!AD26/'Ayarlar'!$B$7,0))/(52/12),0)),7-1&lt;'Proje girdileri'!AH26),POWER(1-'Proje girdileri'!AT26,7-1),0)+IF(AND(2&gt;IF('Ayarlar'!$B$7&lt;=0,99,ROUNDUP(MAX('Proje girdileri'!AC26,ROUNDUP('Proje girdileri'!AD26/'Ayarlar'!$B$7,0))/(52/12),0)),7-2&lt;'Proje girdileri'!AH26),POWER(1-'Proje girdileri'!AT26,7-2),0)+IF(AND(3&gt;IF('Ayarlar'!$B$7&lt;=0,99,ROUNDUP(MAX('Proje girdileri'!AC26,ROUNDUP('Proje girdileri'!AD26/'Ayarlar'!$B$7,0))/(52/12),0)),7-3&lt;'Proje girdileri'!AH26),POWER(1-'Proje girdileri'!AT26,7-3),0)+IF(AND(4&gt;IF('Ayarlar'!$B$7&lt;=0,99,ROUNDUP(MAX('Proje girdileri'!AC26,ROUNDUP('Proje girdileri'!AD26/'Ayarlar'!$B$7,0))/(52/12),0)),7-4&lt;'Proje girdileri'!AH26),POWER(1-'Proje girdileri'!AT26,7-4),0)+IF(AND(5&gt;IF('Ayarlar'!$B$7&lt;=0,99,ROUNDUP(MAX('Proje girdileri'!AC26,ROUNDUP('Proje girdileri'!AD26/'Ayarlar'!$B$7,0))/(52/12),0)),7-5&lt;'Proje girdileri'!AH26),POWER(1-'Proje girdileri'!AT26,7-5),0)+IF(AND(6&gt;IF('Ayarlar'!$B$7&lt;=0,99,ROUNDUP(MAX('Proje girdileri'!AC26,ROUNDUP('Proje girdileri'!AD26/'Ayarlar'!$B$7,0))/(52/12),0)),7-6&lt;'Proje girdileri'!AH26),POWER(1-'Proje girdileri'!AT26,7-6),0)+IF(AND(7&gt;IF('Ayarlar'!$B$7&lt;=0,99,ROUNDUP(MAX('Proje girdileri'!AC26,ROUNDUP('Proje girdileri'!AD26/'Ayarlar'!$B$7,0))/(52/12),0)),7-7&lt;'Proje girdileri'!AH26),POWER(1-'Proje girdileri'!AT26,7-7),0)),IF(7&gt;IF('Ayarlar'!$B$7&lt;=0,99,ROUNDUP(MAX('Proje girdileri'!AC26,ROUNDUP('Proje girdileri'!AD26/'Ayarlar'!$B$7,0))/(52/12),0)),1,0))*('Proje girdileri'!Y26*(1-'Proje girdileri'!AA26-'Proje girdileri'!AB26)-'Proje girdileri'!Z26))-'Proje girdileri'!AJ26)</x:f>
        <x:v>0</x:v>
      </x:c>
      <x:c r="I26" s="24" t="n">
        <x:f>IF(8&gt;'Ayarlar'!$B$6,0,IF(MAX(0,'Ayarlar'!$B$6-IF('Ayarlar'!$B$7&lt;=0,99,ROUNDUP(MAX('Proje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girdileri'!AD26/'Ayarlar'!$B$7,0))/(52/12),0)),8-1&lt;'Proje girdileri'!AH26),POWER(1-'Proje girdileri'!AT26,8-1),0)+IF(AND(2&gt;IF('Ayarlar'!$B$7&lt;=0,99,ROUNDUP(MAX('Proje girdileri'!AC26,ROUNDUP('Proje girdileri'!AD26/'Ayarlar'!$B$7,0))/(52/12),0)),8-2&lt;'Proje girdileri'!AH26),POWER(1-'Proje girdileri'!AT26,8-2),0)+IF(AND(3&gt;IF('Ayarlar'!$B$7&lt;=0,99,ROUNDUP(MAX('Proje girdileri'!AC26,ROUNDUP('Proje girdileri'!AD26/'Ayarlar'!$B$7,0))/(52/12),0)),8-3&lt;'Proje girdileri'!AH26),POWER(1-'Proje girdileri'!AT26,8-3),0)+IF(AND(4&gt;IF('Ayarlar'!$B$7&lt;=0,99,ROUNDUP(MAX('Proje girdileri'!AC26,ROUNDUP('Proje girdileri'!AD26/'Ayarlar'!$B$7,0))/(52/12),0)),8-4&lt;'Proje girdileri'!AH26),POWER(1-'Proje girdileri'!AT26,8-4),0)+IF(AND(5&gt;IF('Ayarlar'!$B$7&lt;=0,99,ROUNDUP(MAX('Proje girdileri'!AC26,ROUNDUP('Proje girdileri'!AD26/'Ayarlar'!$B$7,0))/(52/12),0)),8-5&lt;'Proje girdileri'!AH26),POWER(1-'Proje girdileri'!AT26,8-5),0)+IF(AND(6&gt;IF('Ayarlar'!$B$7&lt;=0,99,ROUNDUP(MAX('Proje girdileri'!AC26,ROUNDUP('Proje girdileri'!AD26/'Ayarlar'!$B$7,0))/(52/12),0)),8-6&lt;'Proje girdileri'!AH26),POWER(1-'Proje girdileri'!AT26,8-6),0)+IF(AND(7&gt;IF('Ayarlar'!$B$7&lt;=0,99,ROUNDUP(MAX('Proje girdileri'!AC26,ROUNDUP('Proje girdileri'!AD26/'Ayarlar'!$B$7,0))/(52/12),0)),8-7&lt;'Proje girdileri'!AH26),POWER(1-'Proje girdileri'!AT26,8-7),0)+IF(AND(8&gt;IF('Ayarlar'!$B$7&lt;=0,99,ROUNDUP(MAX('Proje girdileri'!AC26,ROUNDUP('Proje girdileri'!AD26/'Ayarlar'!$B$7,0))/(52/12),0)),8-8&lt;'Proje girdileri'!AH26),POWER(1-'Proje girdileri'!AT26,8-8),0)),IF(8&gt;IF('Ayarlar'!$B$7&lt;=0,99,ROUNDUP(MAX('Proje girdileri'!AC26,ROUNDUP('Proje girdileri'!AD26/'Ayarlar'!$B$7,0))/(52/12),0)),1,0))*('Proje girdileri'!Y26*(1-'Proje girdileri'!AA26-'Proje girdileri'!AB26)-'Proje girdileri'!Z26))-'Proje girdileri'!AJ26)</x:f>
        <x:v>0</x:v>
      </x:c>
      <x:c r="J26" s="24" t="n">
        <x:f>IF(9&gt;'Ayarlar'!$B$6,0,IF(MAX(0,'Ayarlar'!$B$6-IF('Ayarlar'!$B$7&lt;=0,99,ROUNDUP(MAX('Proje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girdileri'!AD26/'Ayarlar'!$B$7,0))/(52/12),0)),9-1&lt;'Proje girdileri'!AH26),POWER(1-'Proje girdileri'!AT26,9-1),0)+IF(AND(2&gt;IF('Ayarlar'!$B$7&lt;=0,99,ROUNDUP(MAX('Proje girdileri'!AC26,ROUNDUP('Proje girdileri'!AD26/'Ayarlar'!$B$7,0))/(52/12),0)),9-2&lt;'Proje girdileri'!AH26),POWER(1-'Proje girdileri'!AT26,9-2),0)+IF(AND(3&gt;IF('Ayarlar'!$B$7&lt;=0,99,ROUNDUP(MAX('Proje girdileri'!AC26,ROUNDUP('Proje girdileri'!AD26/'Ayarlar'!$B$7,0))/(52/12),0)),9-3&lt;'Proje girdileri'!AH26),POWER(1-'Proje girdileri'!AT26,9-3),0)+IF(AND(4&gt;IF('Ayarlar'!$B$7&lt;=0,99,ROUNDUP(MAX('Proje girdileri'!AC26,ROUNDUP('Proje girdileri'!AD26/'Ayarlar'!$B$7,0))/(52/12),0)),9-4&lt;'Proje girdileri'!AH26),POWER(1-'Proje girdileri'!AT26,9-4),0)+IF(AND(5&gt;IF('Ayarlar'!$B$7&lt;=0,99,ROUNDUP(MAX('Proje girdileri'!AC26,ROUNDUP('Proje girdileri'!AD26/'Ayarlar'!$B$7,0))/(52/12),0)),9-5&lt;'Proje girdileri'!AH26),POWER(1-'Proje girdileri'!AT26,9-5),0)+IF(AND(6&gt;IF('Ayarlar'!$B$7&lt;=0,99,ROUNDUP(MAX('Proje girdileri'!AC26,ROUNDUP('Proje girdileri'!AD26/'Ayarlar'!$B$7,0))/(52/12),0)),9-6&lt;'Proje girdileri'!AH26),POWER(1-'Proje girdileri'!AT26,9-6),0)+IF(AND(7&gt;IF('Ayarlar'!$B$7&lt;=0,99,ROUNDUP(MAX('Proje girdileri'!AC26,ROUNDUP('Proje girdileri'!AD26/'Ayarlar'!$B$7,0))/(52/12),0)),9-7&lt;'Proje girdileri'!AH26),POWER(1-'Proje girdileri'!AT26,9-7),0)+IF(AND(8&gt;IF('Ayarlar'!$B$7&lt;=0,99,ROUNDUP(MAX('Proje girdileri'!AC26,ROUNDUP('Proje girdileri'!AD26/'Ayarlar'!$B$7,0))/(52/12),0)),9-8&lt;'Proje girdileri'!AH26),POWER(1-'Proje girdileri'!AT26,9-8),0)+IF(AND(9&gt;IF('Ayarlar'!$B$7&lt;=0,99,ROUNDUP(MAX('Proje girdileri'!AC26,ROUNDUP('Proje girdileri'!AD26/'Ayarlar'!$B$7,0))/(52/12),0)),9-9&lt;'Proje girdileri'!AH26),POWER(1-'Proje girdileri'!AT26,9-9),0)),IF(9&gt;IF('Ayarlar'!$B$7&lt;=0,99,ROUNDUP(MAX('Proje girdileri'!AC26,ROUNDUP('Proje girdileri'!AD26/'Ayarlar'!$B$7,0))/(52/12),0)),1,0))*('Proje girdileri'!Y26*(1-'Proje girdileri'!AA26-'Proje girdileri'!AB26)-'Proje girdileri'!Z26))-'Proje girdileri'!AJ26)</x:f>
        <x:v>0</x:v>
      </x:c>
      <x:c r="K26" s="24" t="n">
        <x:f>IF(10&gt;'Ayarlar'!$B$6,0,IF(MAX(0,'Ayarlar'!$B$6-IF('Ayarlar'!$B$7&lt;=0,99,ROUNDUP(MAX('Proje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girdileri'!AD26/'Ayarlar'!$B$7,0))/(52/12),0)),10-1&lt;'Proje girdileri'!AH26),POWER(1-'Proje girdileri'!AT26,10-1),0)+IF(AND(2&gt;IF('Ayarlar'!$B$7&lt;=0,99,ROUNDUP(MAX('Proje girdileri'!AC26,ROUNDUP('Proje girdileri'!AD26/'Ayarlar'!$B$7,0))/(52/12),0)),10-2&lt;'Proje girdileri'!AH26),POWER(1-'Proje girdileri'!AT26,10-2),0)+IF(AND(3&gt;IF('Ayarlar'!$B$7&lt;=0,99,ROUNDUP(MAX('Proje girdileri'!AC26,ROUNDUP('Proje girdileri'!AD26/'Ayarlar'!$B$7,0))/(52/12),0)),10-3&lt;'Proje girdileri'!AH26),POWER(1-'Proje girdileri'!AT26,10-3),0)+IF(AND(4&gt;IF('Ayarlar'!$B$7&lt;=0,99,ROUNDUP(MAX('Proje girdileri'!AC26,ROUNDUP('Proje girdileri'!AD26/'Ayarlar'!$B$7,0))/(52/12),0)),10-4&lt;'Proje girdileri'!AH26),POWER(1-'Proje girdileri'!AT26,10-4),0)+IF(AND(5&gt;IF('Ayarlar'!$B$7&lt;=0,99,ROUNDUP(MAX('Proje girdileri'!AC26,ROUNDUP('Proje girdileri'!AD26/'Ayarlar'!$B$7,0))/(52/12),0)),10-5&lt;'Proje girdileri'!AH26),POWER(1-'Proje girdileri'!AT26,10-5),0)+IF(AND(6&gt;IF('Ayarlar'!$B$7&lt;=0,99,ROUNDUP(MAX('Proje girdileri'!AC26,ROUNDUP('Proje girdileri'!AD26/'Ayarlar'!$B$7,0))/(52/12),0)),10-6&lt;'Proje girdileri'!AH26),POWER(1-'Proje girdileri'!AT26,10-6),0)+IF(AND(7&gt;IF('Ayarlar'!$B$7&lt;=0,99,ROUNDUP(MAX('Proje girdileri'!AC26,ROUNDUP('Proje girdileri'!AD26/'Ayarlar'!$B$7,0))/(52/12),0)),10-7&lt;'Proje girdileri'!AH26),POWER(1-'Proje girdileri'!AT26,10-7),0)+IF(AND(8&gt;IF('Ayarlar'!$B$7&lt;=0,99,ROUNDUP(MAX('Proje girdileri'!AC26,ROUNDUP('Proje girdileri'!AD26/'Ayarlar'!$B$7,0))/(52/12),0)),10-8&lt;'Proje girdileri'!AH26),POWER(1-'Proje girdileri'!AT26,10-8),0)+IF(AND(9&gt;IF('Ayarlar'!$B$7&lt;=0,99,ROUNDUP(MAX('Proje girdileri'!AC26,ROUNDUP('Proje girdileri'!AD26/'Ayarlar'!$B$7,0))/(52/12),0)),10-9&lt;'Proje girdileri'!AH26),POWER(1-'Proje girdileri'!AT26,10-9),0)+IF(AND(10&gt;IF('Ayarlar'!$B$7&lt;=0,99,ROUNDUP(MAX('Proje girdileri'!AC26,ROUNDUP('Proje girdileri'!AD26/'Ayarlar'!$B$7,0))/(52/12),0)),10-10&lt;'Proje girdileri'!AH26),POWER(1-'Proje girdileri'!AT26,10-10),0)),IF(10&gt;IF('Ayarlar'!$B$7&lt;=0,99,ROUNDUP(MAX('Proje girdileri'!AC26,ROUNDUP('Proje girdileri'!AD26/'Ayarlar'!$B$7,0))/(52/12),0)),1,0))*('Proje girdileri'!Y26*(1-'Proje girdileri'!AA26-'Proje girdileri'!AB26)-'Proje girdileri'!Z26))-'Proje girdileri'!AJ26)</x:f>
        <x:v>0</x:v>
      </x:c>
      <x:c r="L26" s="24" t="n">
        <x:f>IF(11&gt;'Ayarlar'!$B$6,0,IF(MAX(0,'Ayarlar'!$B$6-IF('Ayarlar'!$B$7&lt;=0,99,ROUNDUP(MAX('Proje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girdileri'!AD26/'Ayarlar'!$B$7,0))/(52/12),0)),11-1&lt;'Proje girdileri'!AH26),POWER(1-'Proje girdileri'!AT26,11-1),0)+IF(AND(2&gt;IF('Ayarlar'!$B$7&lt;=0,99,ROUNDUP(MAX('Proje girdileri'!AC26,ROUNDUP('Proje girdileri'!AD26/'Ayarlar'!$B$7,0))/(52/12),0)),11-2&lt;'Proje girdileri'!AH26),POWER(1-'Proje girdileri'!AT26,11-2),0)+IF(AND(3&gt;IF('Ayarlar'!$B$7&lt;=0,99,ROUNDUP(MAX('Proje girdileri'!AC26,ROUNDUP('Proje girdileri'!AD26/'Ayarlar'!$B$7,0))/(52/12),0)),11-3&lt;'Proje girdileri'!AH26),POWER(1-'Proje girdileri'!AT26,11-3),0)+IF(AND(4&gt;IF('Ayarlar'!$B$7&lt;=0,99,ROUNDUP(MAX('Proje girdileri'!AC26,ROUNDUP('Proje girdileri'!AD26/'Ayarlar'!$B$7,0))/(52/12),0)),11-4&lt;'Proje girdileri'!AH26),POWER(1-'Proje girdileri'!AT26,11-4),0)+IF(AND(5&gt;IF('Ayarlar'!$B$7&lt;=0,99,ROUNDUP(MAX('Proje girdileri'!AC26,ROUNDUP('Proje girdileri'!AD26/'Ayarlar'!$B$7,0))/(52/12),0)),11-5&lt;'Proje girdileri'!AH26),POWER(1-'Proje girdileri'!AT26,11-5),0)+IF(AND(6&gt;IF('Ayarlar'!$B$7&lt;=0,99,ROUNDUP(MAX('Proje girdileri'!AC26,ROUNDUP('Proje girdileri'!AD26/'Ayarlar'!$B$7,0))/(52/12),0)),11-6&lt;'Proje girdileri'!AH26),POWER(1-'Proje girdileri'!AT26,11-6),0)+IF(AND(7&gt;IF('Ayarlar'!$B$7&lt;=0,99,ROUNDUP(MAX('Proje girdileri'!AC26,ROUNDUP('Proje girdileri'!AD26/'Ayarlar'!$B$7,0))/(52/12),0)),11-7&lt;'Proje girdileri'!AH26),POWER(1-'Proje girdileri'!AT26,11-7),0)+IF(AND(8&gt;IF('Ayarlar'!$B$7&lt;=0,99,ROUNDUP(MAX('Proje girdileri'!AC26,ROUNDUP('Proje girdileri'!AD26/'Ayarlar'!$B$7,0))/(52/12),0)),11-8&lt;'Proje girdileri'!AH26),POWER(1-'Proje girdileri'!AT26,11-8),0)+IF(AND(9&gt;IF('Ayarlar'!$B$7&lt;=0,99,ROUNDUP(MAX('Proje girdileri'!AC26,ROUNDUP('Proje girdileri'!AD26/'Ayarlar'!$B$7,0))/(52/12),0)),11-9&lt;'Proje girdileri'!AH26),POWER(1-'Proje girdileri'!AT26,11-9),0)+IF(AND(10&gt;IF('Ayarlar'!$B$7&lt;=0,99,ROUNDUP(MAX('Proje girdileri'!AC26,ROUNDUP('Proje girdileri'!AD26/'Ayarlar'!$B$7,0))/(52/12),0)),11-10&lt;'Proje girdileri'!AH26),POWER(1-'Proje girdileri'!AT26,11-10),0)+IF(AND(11&gt;IF('Ayarlar'!$B$7&lt;=0,99,ROUNDUP(MAX('Proje girdileri'!AC26,ROUNDUP('Proje girdileri'!AD26/'Ayarlar'!$B$7,0))/(52/12),0)),11-11&lt;'Proje girdileri'!AH26),POWER(1-'Proje girdileri'!AT26,11-11),0)),IF(11&gt;IF('Ayarlar'!$B$7&lt;=0,99,ROUNDUP(MAX('Proje girdileri'!AC26,ROUNDUP('Proje girdileri'!AD26/'Ayarlar'!$B$7,0))/(52/12),0)),1,0))*('Proje girdileri'!Y26*(1-'Proje girdileri'!AA26-'Proje girdileri'!AB26)-'Proje girdileri'!Z26))-'Proje girdileri'!AJ26)</x:f>
        <x:v>0</x:v>
      </x:c>
      <x:c r="M26" s="24" t="n">
        <x:f>IF(12&gt;'Ayarlar'!$B$6,0,IF(MAX(0,'Ayarlar'!$B$6-IF('Ayarlar'!$B$7&lt;=0,99,ROUNDUP(MAX('Proje girdileri'!AC26,ROUNDUP('Proje girdileri'!AD26/'Ayarlar'!$B$7,0))/(52/12),0)))=0,0,'Hesap'!I26/MAX(0,'Ayarlar'!$B$6-IF('Ayarlar'!$B$7&lt;=0,99,ROUNDUP(MAX('Proje girdileri'!AC26,ROUNDUP('Proje girdileri'!AD26/'Ayarlar'!$B$7,0))/(52/12),0)))*IF('Proje girdileri'!C26="recurring",(IF(AND(1&gt;IF('Ayarlar'!$B$7&lt;=0,99,ROUNDUP(MAX('Proje girdileri'!AC26,ROUNDUP('Proje girdileri'!AD26/'Ayarlar'!$B$7,0))/(52/12),0)),12-1&lt;'Proje girdileri'!AH26),POWER(1-'Proje girdileri'!AT26,12-1),0)+IF(AND(2&gt;IF('Ayarlar'!$B$7&lt;=0,99,ROUNDUP(MAX('Proje girdileri'!AC26,ROUNDUP('Proje girdileri'!AD26/'Ayarlar'!$B$7,0))/(52/12),0)),12-2&lt;'Proje girdileri'!AH26),POWER(1-'Proje girdileri'!AT26,12-2),0)+IF(AND(3&gt;IF('Ayarlar'!$B$7&lt;=0,99,ROUNDUP(MAX('Proje girdileri'!AC26,ROUNDUP('Proje girdileri'!AD26/'Ayarlar'!$B$7,0))/(52/12),0)),12-3&lt;'Proje girdileri'!AH26),POWER(1-'Proje girdileri'!AT26,12-3),0)+IF(AND(4&gt;IF('Ayarlar'!$B$7&lt;=0,99,ROUNDUP(MAX('Proje girdileri'!AC26,ROUNDUP('Proje girdileri'!AD26/'Ayarlar'!$B$7,0))/(52/12),0)),12-4&lt;'Proje girdileri'!AH26),POWER(1-'Proje girdileri'!AT26,12-4),0)+IF(AND(5&gt;IF('Ayarlar'!$B$7&lt;=0,99,ROUNDUP(MAX('Proje girdileri'!AC26,ROUNDUP('Proje girdileri'!AD26/'Ayarlar'!$B$7,0))/(52/12),0)),12-5&lt;'Proje girdileri'!AH26),POWER(1-'Proje girdileri'!AT26,12-5),0)+IF(AND(6&gt;IF('Ayarlar'!$B$7&lt;=0,99,ROUNDUP(MAX('Proje girdileri'!AC26,ROUNDUP('Proje girdileri'!AD26/'Ayarlar'!$B$7,0))/(52/12),0)),12-6&lt;'Proje girdileri'!AH26),POWER(1-'Proje girdileri'!AT26,12-6),0)+IF(AND(7&gt;IF('Ayarlar'!$B$7&lt;=0,99,ROUNDUP(MAX('Proje girdileri'!AC26,ROUNDUP('Proje girdileri'!AD26/'Ayarlar'!$B$7,0))/(52/12),0)),12-7&lt;'Proje girdileri'!AH26),POWER(1-'Proje girdileri'!AT26,12-7),0)+IF(AND(8&gt;IF('Ayarlar'!$B$7&lt;=0,99,ROUNDUP(MAX('Proje girdileri'!AC26,ROUNDUP('Proje girdileri'!AD26/'Ayarlar'!$B$7,0))/(52/12),0)),12-8&lt;'Proje girdileri'!AH26),POWER(1-'Proje girdileri'!AT26,12-8),0)+IF(AND(9&gt;IF('Ayarlar'!$B$7&lt;=0,99,ROUNDUP(MAX('Proje girdileri'!AC26,ROUNDUP('Proje girdileri'!AD26/'Ayarlar'!$B$7,0))/(52/12),0)),12-9&lt;'Proje girdileri'!AH26),POWER(1-'Proje girdileri'!AT26,12-9),0)+IF(AND(10&gt;IF('Ayarlar'!$B$7&lt;=0,99,ROUNDUP(MAX('Proje girdileri'!AC26,ROUNDUP('Proje girdileri'!AD26/'Ayarlar'!$B$7,0))/(52/12),0)),12-10&lt;'Proje girdileri'!AH26),POWER(1-'Proje girdileri'!AT26,12-10),0)+IF(AND(11&gt;IF('Ayarlar'!$B$7&lt;=0,99,ROUNDUP(MAX('Proje girdileri'!AC26,ROUNDUP('Proje girdileri'!AD26/'Ayarlar'!$B$7,0))/(52/12),0)),12-11&lt;'Proje girdileri'!AH26),POWER(1-'Proje girdileri'!AT26,12-11),0)+IF(AND(12&gt;IF('Ayarlar'!$B$7&lt;=0,99,ROUNDUP(MAX('Proje girdileri'!AC26,ROUNDUP('Proje girdileri'!AD26/'Ayarlar'!$B$7,0))/(52/12),0)),12-12&lt;'Proje girdileri'!AH26),POWER(1-'Proje girdileri'!AT26,12-12),0)),IF(12&gt;IF('Ayarlar'!$B$7&lt;=0,99,ROUNDUP(MAX('Proje girdileri'!AC26,ROUNDUP('Proje girdileri'!AD26/'Ayarlar'!$B$7,0))/(52/12),0)),1,0))*('Proje girdileri'!Y26*(1-'Proje girdileri'!AA26-'Proje girdileri'!AB26)-'Proje girdileri'!Z26))-'Proje girdileri'!AJ26)</x:f>
        <x:v>0</x:v>
      </x:c>
      <x:c r="N26" s="24" t="n">
        <x:f>SUM(B26:M26)</x:f>
        <x:v>373.4999999999999</x:v>
      </x:c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</x:row>
    <x:row r="27" ht="24" customHeight="1">
      <x:c r="A27" s="2" t="str">
        <x:f>'Hesap'!B27</x:f>
        <x:v>G11n QA</x:v>
      </x:c>
      <x:c r="B27" s="24" t="n">
        <x:f>IF(1&gt;'Ayarlar'!$B$6,0,IF(MAX(0,'Ayarlar'!$B$6-IF('Ayarlar'!$B$7&lt;=0,99,ROUNDUP(MAX('Proje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girdileri'!AD27/'Ayarlar'!$B$7,0))/(52/12),0)),1-1&lt;'Proje girdileri'!AH27),POWER(1-'Proje girdileri'!AT27,1-1),0)),IF(1&gt;IF('Ayarlar'!$B$7&lt;=0,99,ROUNDUP(MAX('Proje girdileri'!AC27,ROUNDUP('Proje girdileri'!AD27/'Ayarlar'!$B$7,0))/(52/12),0)),1,0))*('Proje girdileri'!Y27*(1-'Proje girdileri'!AA27-'Proje girdileri'!AB27)-'Proje girdileri'!Z27))-'Proje girdileri'!AJ27-'Proje girdileri'!AI27)</x:f>
        <x:v>-165</x:v>
      </x:c>
      <x:c r="C27" s="24" t="n">
        <x:f>IF(2&gt;'Ayarlar'!$B$6,0,IF(MAX(0,'Ayarlar'!$B$6-IF('Ayarlar'!$B$7&lt;=0,99,ROUNDUP(MAX('Proje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girdileri'!AD27/'Ayarlar'!$B$7,0))/(52/12),0)),2-1&lt;'Proje girdileri'!AH27),POWER(1-'Proje girdileri'!AT27,2-1),0)+IF(AND(2&gt;IF('Ayarlar'!$B$7&lt;=0,99,ROUNDUP(MAX('Proje girdileri'!AC27,ROUNDUP('Proje girdileri'!AD27/'Ayarlar'!$B$7,0))/(52/12),0)),2-2&lt;'Proje girdileri'!AH27),POWER(1-'Proje girdileri'!AT27,2-2),0)),IF(2&gt;IF('Ayarlar'!$B$7&lt;=0,99,ROUNDUP(MAX('Proje girdileri'!AC27,ROUNDUP('Proje girdileri'!AD27/'Ayarlar'!$B$7,0))/(52/12),0)),1,0))*('Proje girdileri'!Y27*(1-'Proje girdileri'!AA27-'Proje girdileri'!AB27)-'Proje girdileri'!Z27))-'Proje girdileri'!AJ27)</x:f>
        <x:v>205.8</x:v>
      </x:c>
      <x:c r="D27" s="24" t="n">
        <x:f>IF(3&gt;'Ayarlar'!$B$6,0,IF(MAX(0,'Ayarlar'!$B$6-IF('Ayarlar'!$B$7&lt;=0,99,ROUNDUP(MAX('Proje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girdileri'!AD27/'Ayarlar'!$B$7,0))/(52/12),0)),3-1&lt;'Proje girdileri'!AH27),POWER(1-'Proje girdileri'!AT27,3-1),0)+IF(AND(2&gt;IF('Ayarlar'!$B$7&lt;=0,99,ROUNDUP(MAX('Proje girdileri'!AC27,ROUNDUP('Proje girdileri'!AD27/'Ayarlar'!$B$7,0))/(52/12),0)),3-2&lt;'Proje girdileri'!AH27),POWER(1-'Proje girdileri'!AT27,3-2),0)+IF(AND(3&gt;IF('Ayarlar'!$B$7&lt;=0,99,ROUNDUP(MAX('Proje girdileri'!AC27,ROUNDUP('Proje girdileri'!AD27/'Ayarlar'!$B$7,0))/(52/12),0)),3-3&lt;'Proje girdileri'!AH27),POWER(1-'Proje girdileri'!AT27,3-3),0)),IF(3&gt;IF('Ayarlar'!$B$7&lt;=0,99,ROUNDUP(MAX('Proje girdileri'!AC27,ROUNDUP('Proje girdileri'!AD27/'Ayarlar'!$B$7,0))/(52/12),0)),1,0))*('Proje girdileri'!Y27*(1-'Proje girdileri'!AA27-'Proje girdileri'!AB27)-'Proje girdileri'!Z27))-'Proje girdileri'!AJ27)</x:f>
        <x:v>205.8</x:v>
      </x:c>
      <x:c r="E27" s="24" t="n">
        <x:f>IF(4&gt;'Ayarlar'!$B$6,0,IF(MAX(0,'Ayarlar'!$B$6-IF('Ayarlar'!$B$7&lt;=0,99,ROUNDUP(MAX('Proje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girdileri'!AD27/'Ayarlar'!$B$7,0))/(52/12),0)),4-1&lt;'Proje girdileri'!AH27),POWER(1-'Proje girdileri'!AT27,4-1),0)+IF(AND(2&gt;IF('Ayarlar'!$B$7&lt;=0,99,ROUNDUP(MAX('Proje girdileri'!AC27,ROUNDUP('Proje girdileri'!AD27/'Ayarlar'!$B$7,0))/(52/12),0)),4-2&lt;'Proje girdileri'!AH27),POWER(1-'Proje girdileri'!AT27,4-2),0)+IF(AND(3&gt;IF('Ayarlar'!$B$7&lt;=0,99,ROUNDUP(MAX('Proje girdileri'!AC27,ROUNDUP('Proje girdileri'!AD27/'Ayarlar'!$B$7,0))/(52/12),0)),4-3&lt;'Proje girdileri'!AH27),POWER(1-'Proje girdileri'!AT27,4-3),0)+IF(AND(4&gt;IF('Ayarlar'!$B$7&lt;=0,99,ROUNDUP(MAX('Proje girdileri'!AC27,ROUNDUP('Proje girdileri'!AD27/'Ayarlar'!$B$7,0))/(52/12),0)),4-4&lt;'Proje girdileri'!AH27),POWER(1-'Proje girdileri'!AT27,4-4),0)),IF(4&gt;IF('Ayarlar'!$B$7&lt;=0,99,ROUNDUP(MAX('Proje girdileri'!AC27,ROUNDUP('Proje girdileri'!AD27/'Ayarlar'!$B$7,0))/(52/12),0)),1,0))*('Proje girdileri'!Y27*(1-'Proje girdileri'!AA27-'Proje girdileri'!AB27)-'Proje girdileri'!Z27))-'Proje girdileri'!AJ27)</x:f>
        <x:v>205.8</x:v>
      </x:c>
      <x:c r="F27" s="24" t="n">
        <x:f>IF(5&gt;'Ayarlar'!$B$6,0,IF(MAX(0,'Ayarlar'!$B$6-IF('Ayarlar'!$B$7&lt;=0,99,ROUNDUP(MAX('Proje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girdileri'!AD27/'Ayarlar'!$B$7,0))/(52/12),0)),5-1&lt;'Proje girdileri'!AH27),POWER(1-'Proje girdileri'!AT27,5-1),0)+IF(AND(2&gt;IF('Ayarlar'!$B$7&lt;=0,99,ROUNDUP(MAX('Proje girdileri'!AC27,ROUNDUP('Proje girdileri'!AD27/'Ayarlar'!$B$7,0))/(52/12),0)),5-2&lt;'Proje girdileri'!AH27),POWER(1-'Proje girdileri'!AT27,5-2),0)+IF(AND(3&gt;IF('Ayarlar'!$B$7&lt;=0,99,ROUNDUP(MAX('Proje girdileri'!AC27,ROUNDUP('Proje girdileri'!AD27/'Ayarlar'!$B$7,0))/(52/12),0)),5-3&lt;'Proje girdileri'!AH27),POWER(1-'Proje girdileri'!AT27,5-3),0)+IF(AND(4&gt;IF('Ayarlar'!$B$7&lt;=0,99,ROUNDUP(MAX('Proje girdileri'!AC27,ROUNDUP('Proje girdileri'!AD27/'Ayarlar'!$B$7,0))/(52/12),0)),5-4&lt;'Proje girdileri'!AH27),POWER(1-'Proje girdileri'!AT27,5-4),0)+IF(AND(5&gt;IF('Ayarlar'!$B$7&lt;=0,99,ROUNDUP(MAX('Proje girdileri'!AC27,ROUNDUP('Proje girdileri'!AD27/'Ayarlar'!$B$7,0))/(52/12),0)),5-5&lt;'Proje girdileri'!AH27),POWER(1-'Proje girdileri'!AT27,5-5),0)),IF(5&gt;IF('Ayarlar'!$B$7&lt;=0,99,ROUNDUP(MAX('Proje girdileri'!AC27,ROUNDUP('Proje girdileri'!AD27/'Ayarlar'!$B$7,0))/(52/12),0)),1,0))*('Proje girdileri'!Y27*(1-'Proje girdileri'!AA27-'Proje girdileri'!AB27)-'Proje girdileri'!Z27))-'Proje girdileri'!AJ27)</x:f>
        <x:v>205.8</x:v>
      </x:c>
      <x:c r="G27" s="24" t="n">
        <x:f>IF(6&gt;'Ayarlar'!$B$6,0,IF(MAX(0,'Ayarlar'!$B$6-IF('Ayarlar'!$B$7&lt;=0,99,ROUNDUP(MAX('Proje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girdileri'!AD27/'Ayarlar'!$B$7,0))/(52/12),0)),6-1&lt;'Proje girdileri'!AH27),POWER(1-'Proje girdileri'!AT27,6-1),0)+IF(AND(2&gt;IF('Ayarlar'!$B$7&lt;=0,99,ROUNDUP(MAX('Proje girdileri'!AC27,ROUNDUP('Proje girdileri'!AD27/'Ayarlar'!$B$7,0))/(52/12),0)),6-2&lt;'Proje girdileri'!AH27),POWER(1-'Proje girdileri'!AT27,6-2),0)+IF(AND(3&gt;IF('Ayarlar'!$B$7&lt;=0,99,ROUNDUP(MAX('Proje girdileri'!AC27,ROUNDUP('Proje girdileri'!AD27/'Ayarlar'!$B$7,0))/(52/12),0)),6-3&lt;'Proje girdileri'!AH27),POWER(1-'Proje girdileri'!AT27,6-3),0)+IF(AND(4&gt;IF('Ayarlar'!$B$7&lt;=0,99,ROUNDUP(MAX('Proje girdileri'!AC27,ROUNDUP('Proje girdileri'!AD27/'Ayarlar'!$B$7,0))/(52/12),0)),6-4&lt;'Proje girdileri'!AH27),POWER(1-'Proje girdileri'!AT27,6-4),0)+IF(AND(5&gt;IF('Ayarlar'!$B$7&lt;=0,99,ROUNDUP(MAX('Proje girdileri'!AC27,ROUNDUP('Proje girdileri'!AD27/'Ayarlar'!$B$7,0))/(52/12),0)),6-5&lt;'Proje girdileri'!AH27),POWER(1-'Proje girdileri'!AT27,6-5),0)+IF(AND(6&gt;IF('Ayarlar'!$B$7&lt;=0,99,ROUNDUP(MAX('Proje girdileri'!AC27,ROUNDUP('Proje girdileri'!AD27/'Ayarlar'!$B$7,0))/(52/12),0)),6-6&lt;'Proje girdileri'!AH27),POWER(1-'Proje girdileri'!AT27,6-6),0)),IF(6&gt;IF('Ayarlar'!$B$7&lt;=0,99,ROUNDUP(MAX('Proje girdileri'!AC27,ROUNDUP('Proje girdileri'!AD27/'Ayarlar'!$B$7,0))/(52/12),0)),1,0))*('Proje girdileri'!Y27*(1-'Proje girdileri'!AA27-'Proje girdileri'!AB27)-'Proje girdileri'!Z27))-'Proje girdileri'!AJ27)</x:f>
        <x:v>205.8</x:v>
      </x:c>
      <x:c r="H27" s="24" t="n">
        <x:f>IF(7&gt;'Ayarlar'!$B$6,0,IF(MAX(0,'Ayarlar'!$B$6-IF('Ayarlar'!$B$7&lt;=0,99,ROUNDUP(MAX('Proje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girdileri'!AD27/'Ayarlar'!$B$7,0))/(52/12),0)),7-1&lt;'Proje girdileri'!AH27),POWER(1-'Proje girdileri'!AT27,7-1),0)+IF(AND(2&gt;IF('Ayarlar'!$B$7&lt;=0,99,ROUNDUP(MAX('Proje girdileri'!AC27,ROUNDUP('Proje girdileri'!AD27/'Ayarlar'!$B$7,0))/(52/12),0)),7-2&lt;'Proje girdileri'!AH27),POWER(1-'Proje girdileri'!AT27,7-2),0)+IF(AND(3&gt;IF('Ayarlar'!$B$7&lt;=0,99,ROUNDUP(MAX('Proje girdileri'!AC27,ROUNDUP('Proje girdileri'!AD27/'Ayarlar'!$B$7,0))/(52/12),0)),7-3&lt;'Proje girdileri'!AH27),POWER(1-'Proje girdileri'!AT27,7-3),0)+IF(AND(4&gt;IF('Ayarlar'!$B$7&lt;=0,99,ROUNDUP(MAX('Proje girdileri'!AC27,ROUNDUP('Proje girdileri'!AD27/'Ayarlar'!$B$7,0))/(52/12),0)),7-4&lt;'Proje girdileri'!AH27),POWER(1-'Proje girdileri'!AT27,7-4),0)+IF(AND(5&gt;IF('Ayarlar'!$B$7&lt;=0,99,ROUNDUP(MAX('Proje girdileri'!AC27,ROUNDUP('Proje girdileri'!AD27/'Ayarlar'!$B$7,0))/(52/12),0)),7-5&lt;'Proje girdileri'!AH27),POWER(1-'Proje girdileri'!AT27,7-5),0)+IF(AND(6&gt;IF('Ayarlar'!$B$7&lt;=0,99,ROUNDUP(MAX('Proje girdileri'!AC27,ROUNDUP('Proje girdileri'!AD27/'Ayarlar'!$B$7,0))/(52/12),0)),7-6&lt;'Proje girdileri'!AH27),POWER(1-'Proje girdileri'!AT27,7-6),0)+IF(AND(7&gt;IF('Ayarlar'!$B$7&lt;=0,99,ROUNDUP(MAX('Proje girdileri'!AC27,ROUNDUP('Proje girdileri'!AD27/'Ayarlar'!$B$7,0))/(52/12),0)),7-7&lt;'Proje girdileri'!AH27),POWER(1-'Proje girdileri'!AT27,7-7),0)),IF(7&gt;IF('Ayarlar'!$B$7&lt;=0,99,ROUNDUP(MAX('Proje girdileri'!AC27,ROUNDUP('Proje girdileri'!AD27/'Ayarlar'!$B$7,0))/(52/12),0)),1,0))*('Proje girdileri'!Y27*(1-'Proje girdileri'!AA27-'Proje girdileri'!AB27)-'Proje girdileri'!Z27))-'Proje girdileri'!AJ27)</x:f>
        <x:v>0</x:v>
      </x:c>
      <x:c r="I27" s="24" t="n">
        <x:f>IF(8&gt;'Ayarlar'!$B$6,0,IF(MAX(0,'Ayarlar'!$B$6-IF('Ayarlar'!$B$7&lt;=0,99,ROUNDUP(MAX('Proje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girdileri'!AD27/'Ayarlar'!$B$7,0))/(52/12),0)),8-1&lt;'Proje girdileri'!AH27),POWER(1-'Proje girdileri'!AT27,8-1),0)+IF(AND(2&gt;IF('Ayarlar'!$B$7&lt;=0,99,ROUNDUP(MAX('Proje girdileri'!AC27,ROUNDUP('Proje girdileri'!AD27/'Ayarlar'!$B$7,0))/(52/12),0)),8-2&lt;'Proje girdileri'!AH27),POWER(1-'Proje girdileri'!AT27,8-2),0)+IF(AND(3&gt;IF('Ayarlar'!$B$7&lt;=0,99,ROUNDUP(MAX('Proje girdileri'!AC27,ROUNDUP('Proje girdileri'!AD27/'Ayarlar'!$B$7,0))/(52/12),0)),8-3&lt;'Proje girdileri'!AH27),POWER(1-'Proje girdileri'!AT27,8-3),0)+IF(AND(4&gt;IF('Ayarlar'!$B$7&lt;=0,99,ROUNDUP(MAX('Proje girdileri'!AC27,ROUNDUP('Proje girdileri'!AD27/'Ayarlar'!$B$7,0))/(52/12),0)),8-4&lt;'Proje girdileri'!AH27),POWER(1-'Proje girdileri'!AT27,8-4),0)+IF(AND(5&gt;IF('Ayarlar'!$B$7&lt;=0,99,ROUNDUP(MAX('Proje girdileri'!AC27,ROUNDUP('Proje girdileri'!AD27/'Ayarlar'!$B$7,0))/(52/12),0)),8-5&lt;'Proje girdileri'!AH27),POWER(1-'Proje girdileri'!AT27,8-5),0)+IF(AND(6&gt;IF('Ayarlar'!$B$7&lt;=0,99,ROUNDUP(MAX('Proje girdileri'!AC27,ROUNDUP('Proje girdileri'!AD27/'Ayarlar'!$B$7,0))/(52/12),0)),8-6&lt;'Proje girdileri'!AH27),POWER(1-'Proje girdileri'!AT27,8-6),0)+IF(AND(7&gt;IF('Ayarlar'!$B$7&lt;=0,99,ROUNDUP(MAX('Proje girdileri'!AC27,ROUNDUP('Proje girdileri'!AD27/'Ayarlar'!$B$7,0))/(52/12),0)),8-7&lt;'Proje girdileri'!AH27),POWER(1-'Proje girdileri'!AT27,8-7),0)+IF(AND(8&gt;IF('Ayarlar'!$B$7&lt;=0,99,ROUNDUP(MAX('Proje girdileri'!AC27,ROUNDUP('Proje girdileri'!AD27/'Ayarlar'!$B$7,0))/(52/12),0)),8-8&lt;'Proje girdileri'!AH27),POWER(1-'Proje girdileri'!AT27,8-8),0)),IF(8&gt;IF('Ayarlar'!$B$7&lt;=0,99,ROUNDUP(MAX('Proje girdileri'!AC27,ROUNDUP('Proje girdileri'!AD27/'Ayarlar'!$B$7,0))/(52/12),0)),1,0))*('Proje girdileri'!Y27*(1-'Proje girdileri'!AA27-'Proje girdileri'!AB27)-'Proje girdileri'!Z27))-'Proje girdileri'!AJ27)</x:f>
        <x:v>0</x:v>
      </x:c>
      <x:c r="J27" s="24" t="n">
        <x:f>IF(9&gt;'Ayarlar'!$B$6,0,IF(MAX(0,'Ayarlar'!$B$6-IF('Ayarlar'!$B$7&lt;=0,99,ROUNDUP(MAX('Proje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girdileri'!AD27/'Ayarlar'!$B$7,0))/(52/12),0)),9-1&lt;'Proje girdileri'!AH27),POWER(1-'Proje girdileri'!AT27,9-1),0)+IF(AND(2&gt;IF('Ayarlar'!$B$7&lt;=0,99,ROUNDUP(MAX('Proje girdileri'!AC27,ROUNDUP('Proje girdileri'!AD27/'Ayarlar'!$B$7,0))/(52/12),0)),9-2&lt;'Proje girdileri'!AH27),POWER(1-'Proje girdileri'!AT27,9-2),0)+IF(AND(3&gt;IF('Ayarlar'!$B$7&lt;=0,99,ROUNDUP(MAX('Proje girdileri'!AC27,ROUNDUP('Proje girdileri'!AD27/'Ayarlar'!$B$7,0))/(52/12),0)),9-3&lt;'Proje girdileri'!AH27),POWER(1-'Proje girdileri'!AT27,9-3),0)+IF(AND(4&gt;IF('Ayarlar'!$B$7&lt;=0,99,ROUNDUP(MAX('Proje girdileri'!AC27,ROUNDUP('Proje girdileri'!AD27/'Ayarlar'!$B$7,0))/(52/12),0)),9-4&lt;'Proje girdileri'!AH27),POWER(1-'Proje girdileri'!AT27,9-4),0)+IF(AND(5&gt;IF('Ayarlar'!$B$7&lt;=0,99,ROUNDUP(MAX('Proje girdileri'!AC27,ROUNDUP('Proje girdileri'!AD27/'Ayarlar'!$B$7,0))/(52/12),0)),9-5&lt;'Proje girdileri'!AH27),POWER(1-'Proje girdileri'!AT27,9-5),0)+IF(AND(6&gt;IF('Ayarlar'!$B$7&lt;=0,99,ROUNDUP(MAX('Proje girdileri'!AC27,ROUNDUP('Proje girdileri'!AD27/'Ayarlar'!$B$7,0))/(52/12),0)),9-6&lt;'Proje girdileri'!AH27),POWER(1-'Proje girdileri'!AT27,9-6),0)+IF(AND(7&gt;IF('Ayarlar'!$B$7&lt;=0,99,ROUNDUP(MAX('Proje girdileri'!AC27,ROUNDUP('Proje girdileri'!AD27/'Ayarlar'!$B$7,0))/(52/12),0)),9-7&lt;'Proje girdileri'!AH27),POWER(1-'Proje girdileri'!AT27,9-7),0)+IF(AND(8&gt;IF('Ayarlar'!$B$7&lt;=0,99,ROUNDUP(MAX('Proje girdileri'!AC27,ROUNDUP('Proje girdileri'!AD27/'Ayarlar'!$B$7,0))/(52/12),0)),9-8&lt;'Proje girdileri'!AH27),POWER(1-'Proje girdileri'!AT27,9-8),0)+IF(AND(9&gt;IF('Ayarlar'!$B$7&lt;=0,99,ROUNDUP(MAX('Proje girdileri'!AC27,ROUNDUP('Proje girdileri'!AD27/'Ayarlar'!$B$7,0))/(52/12),0)),9-9&lt;'Proje girdileri'!AH27),POWER(1-'Proje girdileri'!AT27,9-9),0)),IF(9&gt;IF('Ayarlar'!$B$7&lt;=0,99,ROUNDUP(MAX('Proje girdileri'!AC27,ROUNDUP('Proje girdileri'!AD27/'Ayarlar'!$B$7,0))/(52/12),0)),1,0))*('Proje girdileri'!Y27*(1-'Proje girdileri'!AA27-'Proje girdileri'!AB27)-'Proje girdileri'!Z27))-'Proje girdileri'!AJ27)</x:f>
        <x:v>0</x:v>
      </x:c>
      <x:c r="K27" s="24" t="n">
        <x:f>IF(10&gt;'Ayarlar'!$B$6,0,IF(MAX(0,'Ayarlar'!$B$6-IF('Ayarlar'!$B$7&lt;=0,99,ROUNDUP(MAX('Proje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girdileri'!AD27/'Ayarlar'!$B$7,0))/(52/12),0)),10-1&lt;'Proje girdileri'!AH27),POWER(1-'Proje girdileri'!AT27,10-1),0)+IF(AND(2&gt;IF('Ayarlar'!$B$7&lt;=0,99,ROUNDUP(MAX('Proje girdileri'!AC27,ROUNDUP('Proje girdileri'!AD27/'Ayarlar'!$B$7,0))/(52/12),0)),10-2&lt;'Proje girdileri'!AH27),POWER(1-'Proje girdileri'!AT27,10-2),0)+IF(AND(3&gt;IF('Ayarlar'!$B$7&lt;=0,99,ROUNDUP(MAX('Proje girdileri'!AC27,ROUNDUP('Proje girdileri'!AD27/'Ayarlar'!$B$7,0))/(52/12),0)),10-3&lt;'Proje girdileri'!AH27),POWER(1-'Proje girdileri'!AT27,10-3),0)+IF(AND(4&gt;IF('Ayarlar'!$B$7&lt;=0,99,ROUNDUP(MAX('Proje girdileri'!AC27,ROUNDUP('Proje girdileri'!AD27/'Ayarlar'!$B$7,0))/(52/12),0)),10-4&lt;'Proje girdileri'!AH27),POWER(1-'Proje girdileri'!AT27,10-4),0)+IF(AND(5&gt;IF('Ayarlar'!$B$7&lt;=0,99,ROUNDUP(MAX('Proje girdileri'!AC27,ROUNDUP('Proje girdileri'!AD27/'Ayarlar'!$B$7,0))/(52/12),0)),10-5&lt;'Proje girdileri'!AH27),POWER(1-'Proje girdileri'!AT27,10-5),0)+IF(AND(6&gt;IF('Ayarlar'!$B$7&lt;=0,99,ROUNDUP(MAX('Proje girdileri'!AC27,ROUNDUP('Proje girdileri'!AD27/'Ayarlar'!$B$7,0))/(52/12),0)),10-6&lt;'Proje girdileri'!AH27),POWER(1-'Proje girdileri'!AT27,10-6),0)+IF(AND(7&gt;IF('Ayarlar'!$B$7&lt;=0,99,ROUNDUP(MAX('Proje girdileri'!AC27,ROUNDUP('Proje girdileri'!AD27/'Ayarlar'!$B$7,0))/(52/12),0)),10-7&lt;'Proje girdileri'!AH27),POWER(1-'Proje girdileri'!AT27,10-7),0)+IF(AND(8&gt;IF('Ayarlar'!$B$7&lt;=0,99,ROUNDUP(MAX('Proje girdileri'!AC27,ROUNDUP('Proje girdileri'!AD27/'Ayarlar'!$B$7,0))/(52/12),0)),10-8&lt;'Proje girdileri'!AH27),POWER(1-'Proje girdileri'!AT27,10-8),0)+IF(AND(9&gt;IF('Ayarlar'!$B$7&lt;=0,99,ROUNDUP(MAX('Proje girdileri'!AC27,ROUNDUP('Proje girdileri'!AD27/'Ayarlar'!$B$7,0))/(52/12),0)),10-9&lt;'Proje girdileri'!AH27),POWER(1-'Proje girdileri'!AT27,10-9),0)+IF(AND(10&gt;IF('Ayarlar'!$B$7&lt;=0,99,ROUNDUP(MAX('Proje girdileri'!AC27,ROUNDUP('Proje girdileri'!AD27/'Ayarlar'!$B$7,0))/(52/12),0)),10-10&lt;'Proje girdileri'!AH27),POWER(1-'Proje girdileri'!AT27,10-10),0)),IF(10&gt;IF('Ayarlar'!$B$7&lt;=0,99,ROUNDUP(MAX('Proje girdileri'!AC27,ROUNDUP('Proje girdileri'!AD27/'Ayarlar'!$B$7,0))/(52/12),0)),1,0))*('Proje girdileri'!Y27*(1-'Proje girdileri'!AA27-'Proje girdileri'!AB27)-'Proje girdileri'!Z27))-'Proje girdileri'!AJ27)</x:f>
        <x:v>0</x:v>
      </x:c>
      <x:c r="L27" s="24" t="n">
        <x:f>IF(11&gt;'Ayarlar'!$B$6,0,IF(MAX(0,'Ayarlar'!$B$6-IF('Ayarlar'!$B$7&lt;=0,99,ROUNDUP(MAX('Proje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girdileri'!AD27/'Ayarlar'!$B$7,0))/(52/12),0)),11-1&lt;'Proje girdileri'!AH27),POWER(1-'Proje girdileri'!AT27,11-1),0)+IF(AND(2&gt;IF('Ayarlar'!$B$7&lt;=0,99,ROUNDUP(MAX('Proje girdileri'!AC27,ROUNDUP('Proje girdileri'!AD27/'Ayarlar'!$B$7,0))/(52/12),0)),11-2&lt;'Proje girdileri'!AH27),POWER(1-'Proje girdileri'!AT27,11-2),0)+IF(AND(3&gt;IF('Ayarlar'!$B$7&lt;=0,99,ROUNDUP(MAX('Proje girdileri'!AC27,ROUNDUP('Proje girdileri'!AD27/'Ayarlar'!$B$7,0))/(52/12),0)),11-3&lt;'Proje girdileri'!AH27),POWER(1-'Proje girdileri'!AT27,11-3),0)+IF(AND(4&gt;IF('Ayarlar'!$B$7&lt;=0,99,ROUNDUP(MAX('Proje girdileri'!AC27,ROUNDUP('Proje girdileri'!AD27/'Ayarlar'!$B$7,0))/(52/12),0)),11-4&lt;'Proje girdileri'!AH27),POWER(1-'Proje girdileri'!AT27,11-4),0)+IF(AND(5&gt;IF('Ayarlar'!$B$7&lt;=0,99,ROUNDUP(MAX('Proje girdileri'!AC27,ROUNDUP('Proje girdileri'!AD27/'Ayarlar'!$B$7,0))/(52/12),0)),11-5&lt;'Proje girdileri'!AH27),POWER(1-'Proje girdileri'!AT27,11-5),0)+IF(AND(6&gt;IF('Ayarlar'!$B$7&lt;=0,99,ROUNDUP(MAX('Proje girdileri'!AC27,ROUNDUP('Proje girdileri'!AD27/'Ayarlar'!$B$7,0))/(52/12),0)),11-6&lt;'Proje girdileri'!AH27),POWER(1-'Proje girdileri'!AT27,11-6),0)+IF(AND(7&gt;IF('Ayarlar'!$B$7&lt;=0,99,ROUNDUP(MAX('Proje girdileri'!AC27,ROUNDUP('Proje girdileri'!AD27/'Ayarlar'!$B$7,0))/(52/12),0)),11-7&lt;'Proje girdileri'!AH27),POWER(1-'Proje girdileri'!AT27,11-7),0)+IF(AND(8&gt;IF('Ayarlar'!$B$7&lt;=0,99,ROUNDUP(MAX('Proje girdileri'!AC27,ROUNDUP('Proje girdileri'!AD27/'Ayarlar'!$B$7,0))/(52/12),0)),11-8&lt;'Proje girdileri'!AH27),POWER(1-'Proje girdileri'!AT27,11-8),0)+IF(AND(9&gt;IF('Ayarlar'!$B$7&lt;=0,99,ROUNDUP(MAX('Proje girdileri'!AC27,ROUNDUP('Proje girdileri'!AD27/'Ayarlar'!$B$7,0))/(52/12),0)),11-9&lt;'Proje girdileri'!AH27),POWER(1-'Proje girdileri'!AT27,11-9),0)+IF(AND(10&gt;IF('Ayarlar'!$B$7&lt;=0,99,ROUNDUP(MAX('Proje girdileri'!AC27,ROUNDUP('Proje girdileri'!AD27/'Ayarlar'!$B$7,0))/(52/12),0)),11-10&lt;'Proje girdileri'!AH27),POWER(1-'Proje girdileri'!AT27,11-10),0)+IF(AND(11&gt;IF('Ayarlar'!$B$7&lt;=0,99,ROUNDUP(MAX('Proje girdileri'!AC27,ROUNDUP('Proje girdileri'!AD27/'Ayarlar'!$B$7,0))/(52/12),0)),11-11&lt;'Proje girdileri'!AH27),POWER(1-'Proje girdileri'!AT27,11-11),0)),IF(11&gt;IF('Ayarlar'!$B$7&lt;=0,99,ROUNDUP(MAX('Proje girdileri'!AC27,ROUNDUP('Proje girdileri'!AD27/'Ayarlar'!$B$7,0))/(52/12),0)),1,0))*('Proje girdileri'!Y27*(1-'Proje girdileri'!AA27-'Proje girdileri'!AB27)-'Proje girdileri'!Z27))-'Proje girdileri'!AJ27)</x:f>
        <x:v>0</x:v>
      </x:c>
      <x:c r="M27" s="24" t="n">
        <x:f>IF(12&gt;'Ayarlar'!$B$6,0,IF(MAX(0,'Ayarlar'!$B$6-IF('Ayarlar'!$B$7&lt;=0,99,ROUNDUP(MAX('Proje girdileri'!AC27,ROUNDUP('Proje girdileri'!AD27/'Ayarlar'!$B$7,0))/(52/12),0)))=0,0,'Hesap'!I27/MAX(0,'Ayarlar'!$B$6-IF('Ayarlar'!$B$7&lt;=0,99,ROUNDUP(MAX('Proje girdileri'!AC27,ROUNDUP('Proje girdileri'!AD27/'Ayarlar'!$B$7,0))/(52/12),0)))*IF('Proje girdileri'!C27="recurring",(IF(AND(1&gt;IF('Ayarlar'!$B$7&lt;=0,99,ROUNDUP(MAX('Proje girdileri'!AC27,ROUNDUP('Proje girdileri'!AD27/'Ayarlar'!$B$7,0))/(52/12),0)),12-1&lt;'Proje girdileri'!AH27),POWER(1-'Proje girdileri'!AT27,12-1),0)+IF(AND(2&gt;IF('Ayarlar'!$B$7&lt;=0,99,ROUNDUP(MAX('Proje girdileri'!AC27,ROUNDUP('Proje girdileri'!AD27/'Ayarlar'!$B$7,0))/(52/12),0)),12-2&lt;'Proje girdileri'!AH27),POWER(1-'Proje girdileri'!AT27,12-2),0)+IF(AND(3&gt;IF('Ayarlar'!$B$7&lt;=0,99,ROUNDUP(MAX('Proje girdileri'!AC27,ROUNDUP('Proje girdileri'!AD27/'Ayarlar'!$B$7,0))/(52/12),0)),12-3&lt;'Proje girdileri'!AH27),POWER(1-'Proje girdileri'!AT27,12-3),0)+IF(AND(4&gt;IF('Ayarlar'!$B$7&lt;=0,99,ROUNDUP(MAX('Proje girdileri'!AC27,ROUNDUP('Proje girdileri'!AD27/'Ayarlar'!$B$7,0))/(52/12),0)),12-4&lt;'Proje girdileri'!AH27),POWER(1-'Proje girdileri'!AT27,12-4),0)+IF(AND(5&gt;IF('Ayarlar'!$B$7&lt;=0,99,ROUNDUP(MAX('Proje girdileri'!AC27,ROUNDUP('Proje girdileri'!AD27/'Ayarlar'!$B$7,0))/(52/12),0)),12-5&lt;'Proje girdileri'!AH27),POWER(1-'Proje girdileri'!AT27,12-5),0)+IF(AND(6&gt;IF('Ayarlar'!$B$7&lt;=0,99,ROUNDUP(MAX('Proje girdileri'!AC27,ROUNDUP('Proje girdileri'!AD27/'Ayarlar'!$B$7,0))/(52/12),0)),12-6&lt;'Proje girdileri'!AH27),POWER(1-'Proje girdileri'!AT27,12-6),0)+IF(AND(7&gt;IF('Ayarlar'!$B$7&lt;=0,99,ROUNDUP(MAX('Proje girdileri'!AC27,ROUNDUP('Proje girdileri'!AD27/'Ayarlar'!$B$7,0))/(52/12),0)),12-7&lt;'Proje girdileri'!AH27),POWER(1-'Proje girdileri'!AT27,12-7),0)+IF(AND(8&gt;IF('Ayarlar'!$B$7&lt;=0,99,ROUNDUP(MAX('Proje girdileri'!AC27,ROUNDUP('Proje girdileri'!AD27/'Ayarlar'!$B$7,0))/(52/12),0)),12-8&lt;'Proje girdileri'!AH27),POWER(1-'Proje girdileri'!AT27,12-8),0)+IF(AND(9&gt;IF('Ayarlar'!$B$7&lt;=0,99,ROUNDUP(MAX('Proje girdileri'!AC27,ROUNDUP('Proje girdileri'!AD27/'Ayarlar'!$B$7,0))/(52/12),0)),12-9&lt;'Proje girdileri'!AH27),POWER(1-'Proje girdileri'!AT27,12-9),0)+IF(AND(10&gt;IF('Ayarlar'!$B$7&lt;=0,99,ROUNDUP(MAX('Proje girdileri'!AC27,ROUNDUP('Proje girdileri'!AD27/'Ayarlar'!$B$7,0))/(52/12),0)),12-10&lt;'Proje girdileri'!AH27),POWER(1-'Proje girdileri'!AT27,12-10),0)+IF(AND(11&gt;IF('Ayarlar'!$B$7&lt;=0,99,ROUNDUP(MAX('Proje girdileri'!AC27,ROUNDUP('Proje girdileri'!AD27/'Ayarlar'!$B$7,0))/(52/12),0)),12-11&lt;'Proje girdileri'!AH27),POWER(1-'Proje girdileri'!AT27,12-11),0)+IF(AND(12&gt;IF('Ayarlar'!$B$7&lt;=0,99,ROUNDUP(MAX('Proje girdileri'!AC27,ROUNDUP('Proje girdileri'!AD27/'Ayarlar'!$B$7,0))/(52/12),0)),12-12&lt;'Proje girdileri'!AH27),POWER(1-'Proje girdileri'!AT27,12-12),0)),IF(12&gt;IF('Ayarlar'!$B$7&lt;=0,99,ROUNDUP(MAX('Proje girdileri'!AC27,ROUNDUP('Proje girdileri'!AD27/'Ayarlar'!$B$7,0))/(52/12),0)),1,0))*('Proje girdileri'!Y27*(1-'Proje girdileri'!AA27-'Proje girdileri'!AB27)-'Proje girdileri'!Z27))-'Proje girdileri'!AJ27)</x:f>
        <x:v>0</x:v>
      </x:c>
      <x:c r="N27" s="24" t="n">
        <x:f>SUM(B27:M27)</x:f>
        <x:v>864</x:v>
      </x:c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</x:row>
    <x:row r="28" ht="24" customHeight="1">
      <x:c r="A28" s="2" t="str">
        <x:f>'Hesap'!B28</x:f>
        <x:v>Hakediş mutabakatı</x:v>
      </x:c>
      <x:c r="B28" s="24" t="n">
        <x:f>IF(1&gt;'Ayarlar'!$B$6,0,IF(MAX(0,'Ayarlar'!$B$6-IF('Ayarlar'!$B$7&lt;=0,99,ROUNDUP(MAX('Proje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girdileri'!AD28/'Ayarlar'!$B$7,0))/(52/12),0)),1-1&lt;'Proje girdileri'!AH28),POWER(1-'Proje girdileri'!AT28,1-1),0)),IF(1&gt;IF('Ayarlar'!$B$7&lt;=0,99,ROUNDUP(MAX('Proje girdileri'!AC28,ROUNDUP('Proje girdileri'!AD28/'Ayarlar'!$B$7,0))/(52/12),0)),1,0))*('Proje girdileri'!Y28*(1-'Proje girdileri'!AA28-'Proje girdileri'!AB28)-'Proje girdileri'!Z28))-'Proje girdileri'!AJ28-'Proje girdileri'!AI28)</x:f>
        <x:v>-110</x:v>
      </x:c>
      <x:c r="C28" s="24" t="n">
        <x:f>IF(2&gt;'Ayarlar'!$B$6,0,IF(MAX(0,'Ayarlar'!$B$6-IF('Ayarlar'!$B$7&lt;=0,99,ROUNDUP(MAX('Proje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girdileri'!AD28/'Ayarlar'!$B$7,0))/(52/12),0)),2-1&lt;'Proje girdileri'!AH28),POWER(1-'Proje girdileri'!AT28,2-1),0)+IF(AND(2&gt;IF('Ayarlar'!$B$7&lt;=0,99,ROUNDUP(MAX('Proje girdileri'!AC28,ROUNDUP('Proje girdileri'!AD28/'Ayarlar'!$B$7,0))/(52/12),0)),2-2&lt;'Proje girdileri'!AH28),POWER(1-'Proje girdileri'!AT28,2-2),0)),IF(2&gt;IF('Ayarlar'!$B$7&lt;=0,99,ROUNDUP(MAX('Proje girdileri'!AC28,ROUNDUP('Proje girdileri'!AD28/'Ayarlar'!$B$7,0))/(52/12),0)),1,0))*('Proje girdileri'!Y28*(1-'Proje girdileri'!AA28-'Proje girdileri'!AB28)-'Proje girdileri'!Z28))-'Proje girdileri'!AJ28)</x:f>
        <x:v>-10</x:v>
      </x:c>
      <x:c r="D28" s="24" t="n">
        <x:f>IF(3&gt;'Ayarlar'!$B$6,0,IF(MAX(0,'Ayarlar'!$B$6-IF('Ayarlar'!$B$7&lt;=0,99,ROUNDUP(MAX('Proje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girdileri'!AD28/'Ayarlar'!$B$7,0))/(52/12),0)),3-1&lt;'Proje girdileri'!AH28),POWER(1-'Proje girdileri'!AT28,3-1),0)+IF(AND(2&gt;IF('Ayarlar'!$B$7&lt;=0,99,ROUNDUP(MAX('Proje girdileri'!AC28,ROUNDUP('Proje girdileri'!AD28/'Ayarlar'!$B$7,0))/(52/12),0)),3-2&lt;'Proje girdileri'!AH28),POWER(1-'Proje girdileri'!AT28,3-2),0)+IF(AND(3&gt;IF('Ayarlar'!$B$7&lt;=0,99,ROUNDUP(MAX('Proje girdileri'!AC28,ROUNDUP('Proje girdileri'!AD28/'Ayarlar'!$B$7,0))/(52/12),0)),3-3&lt;'Proje girdileri'!AH28),POWER(1-'Proje girdileri'!AT28,3-3),0)),IF(3&gt;IF('Ayarlar'!$B$7&lt;=0,99,ROUNDUP(MAX('Proje girdileri'!AC28,ROUNDUP('Proje girdileri'!AD28/'Ayarlar'!$B$7,0))/(52/12),0)),1,0))*('Proje girdileri'!Y28*(1-'Proje girdileri'!AA28-'Proje girdileri'!AB28)-'Proje girdileri'!Z28))-'Proje girdileri'!AJ28)</x:f>
        <x:v>707</x:v>
      </x:c>
      <x:c r="E28" s="24" t="n">
        <x:f>IF(4&gt;'Ayarlar'!$B$6,0,IF(MAX(0,'Ayarlar'!$B$6-IF('Ayarlar'!$B$7&lt;=0,99,ROUNDUP(MAX('Proje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girdileri'!AD28/'Ayarlar'!$B$7,0))/(52/12),0)),4-1&lt;'Proje girdileri'!AH28),POWER(1-'Proje girdileri'!AT28,4-1),0)+IF(AND(2&gt;IF('Ayarlar'!$B$7&lt;=0,99,ROUNDUP(MAX('Proje girdileri'!AC28,ROUNDUP('Proje girdileri'!AD28/'Ayarlar'!$B$7,0))/(52/12),0)),4-2&lt;'Proje girdileri'!AH28),POWER(1-'Proje girdileri'!AT28,4-2),0)+IF(AND(3&gt;IF('Ayarlar'!$B$7&lt;=0,99,ROUNDUP(MAX('Proje girdileri'!AC28,ROUNDUP('Proje girdileri'!AD28/'Ayarlar'!$B$7,0))/(52/12),0)),4-3&lt;'Proje girdileri'!AH28),POWER(1-'Proje girdileri'!AT28,4-3),0)+IF(AND(4&gt;IF('Ayarlar'!$B$7&lt;=0,99,ROUNDUP(MAX('Proje girdileri'!AC28,ROUNDUP('Proje girdileri'!AD28/'Ayarlar'!$B$7,0))/(52/12),0)),4-4&lt;'Proje girdileri'!AH28),POWER(1-'Proje girdileri'!AT28,4-4),0)),IF(4&gt;IF('Ayarlar'!$B$7&lt;=0,99,ROUNDUP(MAX('Proje girdileri'!AC28,ROUNDUP('Proje girdileri'!AD28/'Ayarlar'!$B$7,0))/(52/12),0)),1,0))*('Proje girdileri'!Y28*(1-'Proje girdileri'!AA28-'Proje girdileri'!AB28)-'Proje girdileri'!Z28))-'Proje girdileri'!AJ28)</x:f>
        <x:v>707</x:v>
      </x:c>
      <x:c r="F28" s="24" t="n">
        <x:f>IF(5&gt;'Ayarlar'!$B$6,0,IF(MAX(0,'Ayarlar'!$B$6-IF('Ayarlar'!$B$7&lt;=0,99,ROUNDUP(MAX('Proje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girdileri'!AD28/'Ayarlar'!$B$7,0))/(52/12),0)),5-1&lt;'Proje girdileri'!AH28),POWER(1-'Proje girdileri'!AT28,5-1),0)+IF(AND(2&gt;IF('Ayarlar'!$B$7&lt;=0,99,ROUNDUP(MAX('Proje girdileri'!AC28,ROUNDUP('Proje girdileri'!AD28/'Ayarlar'!$B$7,0))/(52/12),0)),5-2&lt;'Proje girdileri'!AH28),POWER(1-'Proje girdileri'!AT28,5-2),0)+IF(AND(3&gt;IF('Ayarlar'!$B$7&lt;=0,99,ROUNDUP(MAX('Proje girdileri'!AC28,ROUNDUP('Proje girdileri'!AD28/'Ayarlar'!$B$7,0))/(52/12),0)),5-3&lt;'Proje girdileri'!AH28),POWER(1-'Proje girdileri'!AT28,5-3),0)+IF(AND(4&gt;IF('Ayarlar'!$B$7&lt;=0,99,ROUNDUP(MAX('Proje girdileri'!AC28,ROUNDUP('Proje girdileri'!AD28/'Ayarlar'!$B$7,0))/(52/12),0)),5-4&lt;'Proje girdileri'!AH28),POWER(1-'Proje girdileri'!AT28,5-4),0)+IF(AND(5&gt;IF('Ayarlar'!$B$7&lt;=0,99,ROUNDUP(MAX('Proje girdileri'!AC28,ROUNDUP('Proje girdileri'!AD28/'Ayarlar'!$B$7,0))/(52/12),0)),5-5&lt;'Proje girdileri'!AH28),POWER(1-'Proje girdileri'!AT28,5-5),0)),IF(5&gt;IF('Ayarlar'!$B$7&lt;=0,99,ROUNDUP(MAX('Proje girdileri'!AC28,ROUNDUP('Proje girdileri'!AD28/'Ayarlar'!$B$7,0))/(52/12),0)),1,0))*('Proje girdileri'!Y28*(1-'Proje girdileri'!AA28-'Proje girdileri'!AB28)-'Proje girdileri'!Z28))-'Proje girdileri'!AJ28)</x:f>
        <x:v>707</x:v>
      </x:c>
      <x:c r="G28" s="24" t="n">
        <x:f>IF(6&gt;'Ayarlar'!$B$6,0,IF(MAX(0,'Ayarlar'!$B$6-IF('Ayarlar'!$B$7&lt;=0,99,ROUNDUP(MAX('Proje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girdileri'!AD28/'Ayarlar'!$B$7,0))/(52/12),0)),6-1&lt;'Proje girdileri'!AH28),POWER(1-'Proje girdileri'!AT28,6-1),0)+IF(AND(2&gt;IF('Ayarlar'!$B$7&lt;=0,99,ROUNDUP(MAX('Proje girdileri'!AC28,ROUNDUP('Proje girdileri'!AD28/'Ayarlar'!$B$7,0))/(52/12),0)),6-2&lt;'Proje girdileri'!AH28),POWER(1-'Proje girdileri'!AT28,6-2),0)+IF(AND(3&gt;IF('Ayarlar'!$B$7&lt;=0,99,ROUNDUP(MAX('Proje girdileri'!AC28,ROUNDUP('Proje girdileri'!AD28/'Ayarlar'!$B$7,0))/(52/12),0)),6-3&lt;'Proje girdileri'!AH28),POWER(1-'Proje girdileri'!AT28,6-3),0)+IF(AND(4&gt;IF('Ayarlar'!$B$7&lt;=0,99,ROUNDUP(MAX('Proje girdileri'!AC28,ROUNDUP('Proje girdileri'!AD28/'Ayarlar'!$B$7,0))/(52/12),0)),6-4&lt;'Proje girdileri'!AH28),POWER(1-'Proje girdileri'!AT28,6-4),0)+IF(AND(5&gt;IF('Ayarlar'!$B$7&lt;=0,99,ROUNDUP(MAX('Proje girdileri'!AC28,ROUNDUP('Proje girdileri'!AD28/'Ayarlar'!$B$7,0))/(52/12),0)),6-5&lt;'Proje girdileri'!AH28),POWER(1-'Proje girdileri'!AT28,6-5),0)+IF(AND(6&gt;IF('Ayarlar'!$B$7&lt;=0,99,ROUNDUP(MAX('Proje girdileri'!AC28,ROUNDUP('Proje girdileri'!AD28/'Ayarlar'!$B$7,0))/(52/12),0)),6-6&lt;'Proje girdileri'!AH28),POWER(1-'Proje girdileri'!AT28,6-6),0)),IF(6&gt;IF('Ayarlar'!$B$7&lt;=0,99,ROUNDUP(MAX('Proje girdileri'!AC28,ROUNDUP('Proje girdileri'!AD28/'Ayarlar'!$B$7,0))/(52/12),0)),1,0))*('Proje girdileri'!Y28*(1-'Proje girdileri'!AA28-'Proje girdileri'!AB28)-'Proje girdileri'!Z28))-'Proje girdileri'!AJ28)</x:f>
        <x:v>707</x:v>
      </x:c>
      <x:c r="H28" s="24" t="n">
        <x:f>IF(7&gt;'Ayarlar'!$B$6,0,IF(MAX(0,'Ayarlar'!$B$6-IF('Ayarlar'!$B$7&lt;=0,99,ROUNDUP(MAX('Proje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girdileri'!AD28/'Ayarlar'!$B$7,0))/(52/12),0)),7-1&lt;'Proje girdileri'!AH28),POWER(1-'Proje girdileri'!AT28,7-1),0)+IF(AND(2&gt;IF('Ayarlar'!$B$7&lt;=0,99,ROUNDUP(MAX('Proje girdileri'!AC28,ROUNDUP('Proje girdileri'!AD28/'Ayarlar'!$B$7,0))/(52/12),0)),7-2&lt;'Proje girdileri'!AH28),POWER(1-'Proje girdileri'!AT28,7-2),0)+IF(AND(3&gt;IF('Ayarlar'!$B$7&lt;=0,99,ROUNDUP(MAX('Proje girdileri'!AC28,ROUNDUP('Proje girdileri'!AD28/'Ayarlar'!$B$7,0))/(52/12),0)),7-3&lt;'Proje girdileri'!AH28),POWER(1-'Proje girdileri'!AT28,7-3),0)+IF(AND(4&gt;IF('Ayarlar'!$B$7&lt;=0,99,ROUNDUP(MAX('Proje girdileri'!AC28,ROUNDUP('Proje girdileri'!AD28/'Ayarlar'!$B$7,0))/(52/12),0)),7-4&lt;'Proje girdileri'!AH28),POWER(1-'Proje girdileri'!AT28,7-4),0)+IF(AND(5&gt;IF('Ayarlar'!$B$7&lt;=0,99,ROUNDUP(MAX('Proje girdileri'!AC28,ROUNDUP('Proje girdileri'!AD28/'Ayarlar'!$B$7,0))/(52/12),0)),7-5&lt;'Proje girdileri'!AH28),POWER(1-'Proje girdileri'!AT28,7-5),0)+IF(AND(6&gt;IF('Ayarlar'!$B$7&lt;=0,99,ROUNDUP(MAX('Proje girdileri'!AC28,ROUNDUP('Proje girdileri'!AD28/'Ayarlar'!$B$7,0))/(52/12),0)),7-6&lt;'Proje girdileri'!AH28),POWER(1-'Proje girdileri'!AT28,7-6),0)+IF(AND(7&gt;IF('Ayarlar'!$B$7&lt;=0,99,ROUNDUP(MAX('Proje girdileri'!AC28,ROUNDUP('Proje girdileri'!AD28/'Ayarlar'!$B$7,0))/(52/12),0)),7-7&lt;'Proje girdileri'!AH28),POWER(1-'Proje girdileri'!AT28,7-7),0)),IF(7&gt;IF('Ayarlar'!$B$7&lt;=0,99,ROUNDUP(MAX('Proje girdileri'!AC28,ROUNDUP('Proje girdileri'!AD28/'Ayarlar'!$B$7,0))/(52/12),0)),1,0))*('Proje girdileri'!Y28*(1-'Proje girdileri'!AA28-'Proje girdileri'!AB28)-'Proje girdileri'!Z28))-'Proje girdileri'!AJ28)</x:f>
        <x:v>0</x:v>
      </x:c>
      <x:c r="I28" s="24" t="n">
        <x:f>IF(8&gt;'Ayarlar'!$B$6,0,IF(MAX(0,'Ayarlar'!$B$6-IF('Ayarlar'!$B$7&lt;=0,99,ROUNDUP(MAX('Proje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girdileri'!AD28/'Ayarlar'!$B$7,0))/(52/12),0)),8-1&lt;'Proje girdileri'!AH28),POWER(1-'Proje girdileri'!AT28,8-1),0)+IF(AND(2&gt;IF('Ayarlar'!$B$7&lt;=0,99,ROUNDUP(MAX('Proje girdileri'!AC28,ROUNDUP('Proje girdileri'!AD28/'Ayarlar'!$B$7,0))/(52/12),0)),8-2&lt;'Proje girdileri'!AH28),POWER(1-'Proje girdileri'!AT28,8-2),0)+IF(AND(3&gt;IF('Ayarlar'!$B$7&lt;=0,99,ROUNDUP(MAX('Proje girdileri'!AC28,ROUNDUP('Proje girdileri'!AD28/'Ayarlar'!$B$7,0))/(52/12),0)),8-3&lt;'Proje girdileri'!AH28),POWER(1-'Proje girdileri'!AT28,8-3),0)+IF(AND(4&gt;IF('Ayarlar'!$B$7&lt;=0,99,ROUNDUP(MAX('Proje girdileri'!AC28,ROUNDUP('Proje girdileri'!AD28/'Ayarlar'!$B$7,0))/(52/12),0)),8-4&lt;'Proje girdileri'!AH28),POWER(1-'Proje girdileri'!AT28,8-4),0)+IF(AND(5&gt;IF('Ayarlar'!$B$7&lt;=0,99,ROUNDUP(MAX('Proje girdileri'!AC28,ROUNDUP('Proje girdileri'!AD28/'Ayarlar'!$B$7,0))/(52/12),0)),8-5&lt;'Proje girdileri'!AH28),POWER(1-'Proje girdileri'!AT28,8-5),0)+IF(AND(6&gt;IF('Ayarlar'!$B$7&lt;=0,99,ROUNDUP(MAX('Proje girdileri'!AC28,ROUNDUP('Proje girdileri'!AD28/'Ayarlar'!$B$7,0))/(52/12),0)),8-6&lt;'Proje girdileri'!AH28),POWER(1-'Proje girdileri'!AT28,8-6),0)+IF(AND(7&gt;IF('Ayarlar'!$B$7&lt;=0,99,ROUNDUP(MAX('Proje girdileri'!AC28,ROUNDUP('Proje girdileri'!AD28/'Ayarlar'!$B$7,0))/(52/12),0)),8-7&lt;'Proje girdileri'!AH28),POWER(1-'Proje girdileri'!AT28,8-7),0)+IF(AND(8&gt;IF('Ayarlar'!$B$7&lt;=0,99,ROUNDUP(MAX('Proje girdileri'!AC28,ROUNDUP('Proje girdileri'!AD28/'Ayarlar'!$B$7,0))/(52/12),0)),8-8&lt;'Proje girdileri'!AH28),POWER(1-'Proje girdileri'!AT28,8-8),0)),IF(8&gt;IF('Ayarlar'!$B$7&lt;=0,99,ROUNDUP(MAX('Proje girdileri'!AC28,ROUNDUP('Proje girdileri'!AD28/'Ayarlar'!$B$7,0))/(52/12),0)),1,0))*('Proje girdileri'!Y28*(1-'Proje girdileri'!AA28-'Proje girdileri'!AB28)-'Proje girdileri'!Z28))-'Proje girdileri'!AJ28)</x:f>
        <x:v>0</x:v>
      </x:c>
      <x:c r="J28" s="24" t="n">
        <x:f>IF(9&gt;'Ayarlar'!$B$6,0,IF(MAX(0,'Ayarlar'!$B$6-IF('Ayarlar'!$B$7&lt;=0,99,ROUNDUP(MAX('Proje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girdileri'!AD28/'Ayarlar'!$B$7,0))/(52/12),0)),9-1&lt;'Proje girdileri'!AH28),POWER(1-'Proje girdileri'!AT28,9-1),0)+IF(AND(2&gt;IF('Ayarlar'!$B$7&lt;=0,99,ROUNDUP(MAX('Proje girdileri'!AC28,ROUNDUP('Proje girdileri'!AD28/'Ayarlar'!$B$7,0))/(52/12),0)),9-2&lt;'Proje girdileri'!AH28),POWER(1-'Proje girdileri'!AT28,9-2),0)+IF(AND(3&gt;IF('Ayarlar'!$B$7&lt;=0,99,ROUNDUP(MAX('Proje girdileri'!AC28,ROUNDUP('Proje girdileri'!AD28/'Ayarlar'!$B$7,0))/(52/12),0)),9-3&lt;'Proje girdileri'!AH28),POWER(1-'Proje girdileri'!AT28,9-3),0)+IF(AND(4&gt;IF('Ayarlar'!$B$7&lt;=0,99,ROUNDUP(MAX('Proje girdileri'!AC28,ROUNDUP('Proje girdileri'!AD28/'Ayarlar'!$B$7,0))/(52/12),0)),9-4&lt;'Proje girdileri'!AH28),POWER(1-'Proje girdileri'!AT28,9-4),0)+IF(AND(5&gt;IF('Ayarlar'!$B$7&lt;=0,99,ROUNDUP(MAX('Proje girdileri'!AC28,ROUNDUP('Proje girdileri'!AD28/'Ayarlar'!$B$7,0))/(52/12),0)),9-5&lt;'Proje girdileri'!AH28),POWER(1-'Proje girdileri'!AT28,9-5),0)+IF(AND(6&gt;IF('Ayarlar'!$B$7&lt;=0,99,ROUNDUP(MAX('Proje girdileri'!AC28,ROUNDUP('Proje girdileri'!AD28/'Ayarlar'!$B$7,0))/(52/12),0)),9-6&lt;'Proje girdileri'!AH28),POWER(1-'Proje girdileri'!AT28,9-6),0)+IF(AND(7&gt;IF('Ayarlar'!$B$7&lt;=0,99,ROUNDUP(MAX('Proje girdileri'!AC28,ROUNDUP('Proje girdileri'!AD28/'Ayarlar'!$B$7,0))/(52/12),0)),9-7&lt;'Proje girdileri'!AH28),POWER(1-'Proje girdileri'!AT28,9-7),0)+IF(AND(8&gt;IF('Ayarlar'!$B$7&lt;=0,99,ROUNDUP(MAX('Proje girdileri'!AC28,ROUNDUP('Proje girdileri'!AD28/'Ayarlar'!$B$7,0))/(52/12),0)),9-8&lt;'Proje girdileri'!AH28),POWER(1-'Proje girdileri'!AT28,9-8),0)+IF(AND(9&gt;IF('Ayarlar'!$B$7&lt;=0,99,ROUNDUP(MAX('Proje girdileri'!AC28,ROUNDUP('Proje girdileri'!AD28/'Ayarlar'!$B$7,0))/(52/12),0)),9-9&lt;'Proje girdileri'!AH28),POWER(1-'Proje girdileri'!AT28,9-9),0)),IF(9&gt;IF('Ayarlar'!$B$7&lt;=0,99,ROUNDUP(MAX('Proje girdileri'!AC28,ROUNDUP('Proje girdileri'!AD28/'Ayarlar'!$B$7,0))/(52/12),0)),1,0))*('Proje girdileri'!Y28*(1-'Proje girdileri'!AA28-'Proje girdileri'!AB28)-'Proje girdileri'!Z28))-'Proje girdileri'!AJ28)</x:f>
        <x:v>0</x:v>
      </x:c>
      <x:c r="K28" s="24" t="n">
        <x:f>IF(10&gt;'Ayarlar'!$B$6,0,IF(MAX(0,'Ayarlar'!$B$6-IF('Ayarlar'!$B$7&lt;=0,99,ROUNDUP(MAX('Proje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girdileri'!AD28/'Ayarlar'!$B$7,0))/(52/12),0)),10-1&lt;'Proje girdileri'!AH28),POWER(1-'Proje girdileri'!AT28,10-1),0)+IF(AND(2&gt;IF('Ayarlar'!$B$7&lt;=0,99,ROUNDUP(MAX('Proje girdileri'!AC28,ROUNDUP('Proje girdileri'!AD28/'Ayarlar'!$B$7,0))/(52/12),0)),10-2&lt;'Proje girdileri'!AH28),POWER(1-'Proje girdileri'!AT28,10-2),0)+IF(AND(3&gt;IF('Ayarlar'!$B$7&lt;=0,99,ROUNDUP(MAX('Proje girdileri'!AC28,ROUNDUP('Proje girdileri'!AD28/'Ayarlar'!$B$7,0))/(52/12),0)),10-3&lt;'Proje girdileri'!AH28),POWER(1-'Proje girdileri'!AT28,10-3),0)+IF(AND(4&gt;IF('Ayarlar'!$B$7&lt;=0,99,ROUNDUP(MAX('Proje girdileri'!AC28,ROUNDUP('Proje girdileri'!AD28/'Ayarlar'!$B$7,0))/(52/12),0)),10-4&lt;'Proje girdileri'!AH28),POWER(1-'Proje girdileri'!AT28,10-4),0)+IF(AND(5&gt;IF('Ayarlar'!$B$7&lt;=0,99,ROUNDUP(MAX('Proje girdileri'!AC28,ROUNDUP('Proje girdileri'!AD28/'Ayarlar'!$B$7,0))/(52/12),0)),10-5&lt;'Proje girdileri'!AH28),POWER(1-'Proje girdileri'!AT28,10-5),0)+IF(AND(6&gt;IF('Ayarlar'!$B$7&lt;=0,99,ROUNDUP(MAX('Proje girdileri'!AC28,ROUNDUP('Proje girdileri'!AD28/'Ayarlar'!$B$7,0))/(52/12),0)),10-6&lt;'Proje girdileri'!AH28),POWER(1-'Proje girdileri'!AT28,10-6),0)+IF(AND(7&gt;IF('Ayarlar'!$B$7&lt;=0,99,ROUNDUP(MAX('Proje girdileri'!AC28,ROUNDUP('Proje girdileri'!AD28/'Ayarlar'!$B$7,0))/(52/12),0)),10-7&lt;'Proje girdileri'!AH28),POWER(1-'Proje girdileri'!AT28,10-7),0)+IF(AND(8&gt;IF('Ayarlar'!$B$7&lt;=0,99,ROUNDUP(MAX('Proje girdileri'!AC28,ROUNDUP('Proje girdileri'!AD28/'Ayarlar'!$B$7,0))/(52/12),0)),10-8&lt;'Proje girdileri'!AH28),POWER(1-'Proje girdileri'!AT28,10-8),0)+IF(AND(9&gt;IF('Ayarlar'!$B$7&lt;=0,99,ROUNDUP(MAX('Proje girdileri'!AC28,ROUNDUP('Proje girdileri'!AD28/'Ayarlar'!$B$7,0))/(52/12),0)),10-9&lt;'Proje girdileri'!AH28),POWER(1-'Proje girdileri'!AT28,10-9),0)+IF(AND(10&gt;IF('Ayarlar'!$B$7&lt;=0,99,ROUNDUP(MAX('Proje girdileri'!AC28,ROUNDUP('Proje girdileri'!AD28/'Ayarlar'!$B$7,0))/(52/12),0)),10-10&lt;'Proje girdileri'!AH28),POWER(1-'Proje girdileri'!AT28,10-10),0)),IF(10&gt;IF('Ayarlar'!$B$7&lt;=0,99,ROUNDUP(MAX('Proje girdileri'!AC28,ROUNDUP('Proje girdileri'!AD28/'Ayarlar'!$B$7,0))/(52/12),0)),1,0))*('Proje girdileri'!Y28*(1-'Proje girdileri'!AA28-'Proje girdileri'!AB28)-'Proje girdileri'!Z28))-'Proje girdileri'!AJ28)</x:f>
        <x:v>0</x:v>
      </x:c>
      <x:c r="L28" s="24" t="n">
        <x:f>IF(11&gt;'Ayarlar'!$B$6,0,IF(MAX(0,'Ayarlar'!$B$6-IF('Ayarlar'!$B$7&lt;=0,99,ROUNDUP(MAX('Proje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girdileri'!AD28/'Ayarlar'!$B$7,0))/(52/12),0)),11-1&lt;'Proje girdileri'!AH28),POWER(1-'Proje girdileri'!AT28,11-1),0)+IF(AND(2&gt;IF('Ayarlar'!$B$7&lt;=0,99,ROUNDUP(MAX('Proje girdileri'!AC28,ROUNDUP('Proje girdileri'!AD28/'Ayarlar'!$B$7,0))/(52/12),0)),11-2&lt;'Proje girdileri'!AH28),POWER(1-'Proje girdileri'!AT28,11-2),0)+IF(AND(3&gt;IF('Ayarlar'!$B$7&lt;=0,99,ROUNDUP(MAX('Proje girdileri'!AC28,ROUNDUP('Proje girdileri'!AD28/'Ayarlar'!$B$7,0))/(52/12),0)),11-3&lt;'Proje girdileri'!AH28),POWER(1-'Proje girdileri'!AT28,11-3),0)+IF(AND(4&gt;IF('Ayarlar'!$B$7&lt;=0,99,ROUNDUP(MAX('Proje girdileri'!AC28,ROUNDUP('Proje girdileri'!AD28/'Ayarlar'!$B$7,0))/(52/12),0)),11-4&lt;'Proje girdileri'!AH28),POWER(1-'Proje girdileri'!AT28,11-4),0)+IF(AND(5&gt;IF('Ayarlar'!$B$7&lt;=0,99,ROUNDUP(MAX('Proje girdileri'!AC28,ROUNDUP('Proje girdileri'!AD28/'Ayarlar'!$B$7,0))/(52/12),0)),11-5&lt;'Proje girdileri'!AH28),POWER(1-'Proje girdileri'!AT28,11-5),0)+IF(AND(6&gt;IF('Ayarlar'!$B$7&lt;=0,99,ROUNDUP(MAX('Proje girdileri'!AC28,ROUNDUP('Proje girdileri'!AD28/'Ayarlar'!$B$7,0))/(52/12),0)),11-6&lt;'Proje girdileri'!AH28),POWER(1-'Proje girdileri'!AT28,11-6),0)+IF(AND(7&gt;IF('Ayarlar'!$B$7&lt;=0,99,ROUNDUP(MAX('Proje girdileri'!AC28,ROUNDUP('Proje girdileri'!AD28/'Ayarlar'!$B$7,0))/(52/12),0)),11-7&lt;'Proje girdileri'!AH28),POWER(1-'Proje girdileri'!AT28,11-7),0)+IF(AND(8&gt;IF('Ayarlar'!$B$7&lt;=0,99,ROUNDUP(MAX('Proje girdileri'!AC28,ROUNDUP('Proje girdileri'!AD28/'Ayarlar'!$B$7,0))/(52/12),0)),11-8&lt;'Proje girdileri'!AH28),POWER(1-'Proje girdileri'!AT28,11-8),0)+IF(AND(9&gt;IF('Ayarlar'!$B$7&lt;=0,99,ROUNDUP(MAX('Proje girdileri'!AC28,ROUNDUP('Proje girdileri'!AD28/'Ayarlar'!$B$7,0))/(52/12),0)),11-9&lt;'Proje girdileri'!AH28),POWER(1-'Proje girdileri'!AT28,11-9),0)+IF(AND(10&gt;IF('Ayarlar'!$B$7&lt;=0,99,ROUNDUP(MAX('Proje girdileri'!AC28,ROUNDUP('Proje girdileri'!AD28/'Ayarlar'!$B$7,0))/(52/12),0)),11-10&lt;'Proje girdileri'!AH28),POWER(1-'Proje girdileri'!AT28,11-10),0)+IF(AND(11&gt;IF('Ayarlar'!$B$7&lt;=0,99,ROUNDUP(MAX('Proje girdileri'!AC28,ROUNDUP('Proje girdileri'!AD28/'Ayarlar'!$B$7,0))/(52/12),0)),11-11&lt;'Proje girdileri'!AH28),POWER(1-'Proje girdileri'!AT28,11-11),0)),IF(11&gt;IF('Ayarlar'!$B$7&lt;=0,99,ROUNDUP(MAX('Proje girdileri'!AC28,ROUNDUP('Proje girdileri'!AD28/'Ayarlar'!$B$7,0))/(52/12),0)),1,0))*('Proje girdileri'!Y28*(1-'Proje girdileri'!AA28-'Proje girdileri'!AB28)-'Proje girdileri'!Z28))-'Proje girdileri'!AJ28)</x:f>
        <x:v>0</x:v>
      </x:c>
      <x:c r="M28" s="24" t="n">
        <x:f>IF(12&gt;'Ayarlar'!$B$6,0,IF(MAX(0,'Ayarlar'!$B$6-IF('Ayarlar'!$B$7&lt;=0,99,ROUNDUP(MAX('Proje girdileri'!AC28,ROUNDUP('Proje girdileri'!AD28/'Ayarlar'!$B$7,0))/(52/12),0)))=0,0,'Hesap'!I28/MAX(0,'Ayarlar'!$B$6-IF('Ayarlar'!$B$7&lt;=0,99,ROUNDUP(MAX('Proje girdileri'!AC28,ROUNDUP('Proje girdileri'!AD28/'Ayarlar'!$B$7,0))/(52/12),0)))*IF('Proje girdileri'!C28="recurring",(IF(AND(1&gt;IF('Ayarlar'!$B$7&lt;=0,99,ROUNDUP(MAX('Proje girdileri'!AC28,ROUNDUP('Proje girdileri'!AD28/'Ayarlar'!$B$7,0))/(52/12),0)),12-1&lt;'Proje girdileri'!AH28),POWER(1-'Proje girdileri'!AT28,12-1),0)+IF(AND(2&gt;IF('Ayarlar'!$B$7&lt;=0,99,ROUNDUP(MAX('Proje girdileri'!AC28,ROUNDUP('Proje girdileri'!AD28/'Ayarlar'!$B$7,0))/(52/12),0)),12-2&lt;'Proje girdileri'!AH28),POWER(1-'Proje girdileri'!AT28,12-2),0)+IF(AND(3&gt;IF('Ayarlar'!$B$7&lt;=0,99,ROUNDUP(MAX('Proje girdileri'!AC28,ROUNDUP('Proje girdileri'!AD28/'Ayarlar'!$B$7,0))/(52/12),0)),12-3&lt;'Proje girdileri'!AH28),POWER(1-'Proje girdileri'!AT28,12-3),0)+IF(AND(4&gt;IF('Ayarlar'!$B$7&lt;=0,99,ROUNDUP(MAX('Proje girdileri'!AC28,ROUNDUP('Proje girdileri'!AD28/'Ayarlar'!$B$7,0))/(52/12),0)),12-4&lt;'Proje girdileri'!AH28),POWER(1-'Proje girdileri'!AT28,12-4),0)+IF(AND(5&gt;IF('Ayarlar'!$B$7&lt;=0,99,ROUNDUP(MAX('Proje girdileri'!AC28,ROUNDUP('Proje girdileri'!AD28/'Ayarlar'!$B$7,0))/(52/12),0)),12-5&lt;'Proje girdileri'!AH28),POWER(1-'Proje girdileri'!AT28,12-5),0)+IF(AND(6&gt;IF('Ayarlar'!$B$7&lt;=0,99,ROUNDUP(MAX('Proje girdileri'!AC28,ROUNDUP('Proje girdileri'!AD28/'Ayarlar'!$B$7,0))/(52/12),0)),12-6&lt;'Proje girdileri'!AH28),POWER(1-'Proje girdileri'!AT28,12-6),0)+IF(AND(7&gt;IF('Ayarlar'!$B$7&lt;=0,99,ROUNDUP(MAX('Proje girdileri'!AC28,ROUNDUP('Proje girdileri'!AD28/'Ayarlar'!$B$7,0))/(52/12),0)),12-7&lt;'Proje girdileri'!AH28),POWER(1-'Proje girdileri'!AT28,12-7),0)+IF(AND(8&gt;IF('Ayarlar'!$B$7&lt;=0,99,ROUNDUP(MAX('Proje girdileri'!AC28,ROUNDUP('Proje girdileri'!AD28/'Ayarlar'!$B$7,0))/(52/12),0)),12-8&lt;'Proje girdileri'!AH28),POWER(1-'Proje girdileri'!AT28,12-8),0)+IF(AND(9&gt;IF('Ayarlar'!$B$7&lt;=0,99,ROUNDUP(MAX('Proje girdileri'!AC28,ROUNDUP('Proje girdileri'!AD28/'Ayarlar'!$B$7,0))/(52/12),0)),12-9&lt;'Proje girdileri'!AH28),POWER(1-'Proje girdileri'!AT28,12-9),0)+IF(AND(10&gt;IF('Ayarlar'!$B$7&lt;=0,99,ROUNDUP(MAX('Proje girdileri'!AC28,ROUNDUP('Proje girdileri'!AD28/'Ayarlar'!$B$7,0))/(52/12),0)),12-10&lt;'Proje girdileri'!AH28),POWER(1-'Proje girdileri'!AT28,12-10),0)+IF(AND(11&gt;IF('Ayarlar'!$B$7&lt;=0,99,ROUNDUP(MAX('Proje girdileri'!AC28,ROUNDUP('Proje girdileri'!AD28/'Ayarlar'!$B$7,0))/(52/12),0)),12-11&lt;'Proje girdileri'!AH28),POWER(1-'Proje girdileri'!AT28,12-11),0)+IF(AND(12&gt;IF('Ayarlar'!$B$7&lt;=0,99,ROUNDUP(MAX('Proje girdileri'!AC28,ROUNDUP('Proje girdileri'!AD28/'Ayarlar'!$B$7,0))/(52/12),0)),12-12&lt;'Proje girdileri'!AH28),POWER(1-'Proje girdileri'!AT28,12-12),0)),IF(12&gt;IF('Ayarlar'!$B$7&lt;=0,99,ROUNDUP(MAX('Proje girdileri'!AC28,ROUNDUP('Proje girdileri'!AD28/'Ayarlar'!$B$7,0))/(52/12),0)),1,0))*('Proje girdileri'!Y28*(1-'Proje girdileri'!AA28-'Proje girdileri'!AB28)-'Proje girdileri'!Z28))-'Proje girdileri'!AJ28)</x:f>
        <x:v>0</x:v>
      </x:c>
      <x:c r="N28" s="24" t="n">
        <x:f>SUM(B28:M28)</x:f>
        <x:v>2708</x:v>
      </x:c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</x:row>
    <x:row r="29" ht="24" customHeight="1">
      <x:c r="A29" s="2" t="str">
        <x:f>'Hesap'!B29</x:f>
        <x:v>B2B likidite teşhisi</x:v>
      </x:c>
      <x:c r="B29" s="24" t="n">
        <x:f>IF(1&gt;'Ayarlar'!$B$6,0,IF(MAX(0,'Ayarlar'!$B$6-IF('Ayarlar'!$B$7&lt;=0,99,ROUNDUP(MAX('Proje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girdileri'!AD29/'Ayarlar'!$B$7,0))/(52/12),0)),1-1&lt;'Proje girdileri'!AH29),POWER(1-'Proje girdileri'!AT29,1-1),0)),IF(1&gt;IF('Ayarlar'!$B$7&lt;=0,99,ROUNDUP(MAX('Proje girdileri'!AC29,ROUNDUP('Proje girdileri'!AD29/'Ayarlar'!$B$7,0))/(52/12),0)),1,0))*('Proje girdileri'!Y29*(1-'Proje girdileri'!AA29-'Proje girdileri'!AB29)-'Proje girdileri'!Z29))-'Proje girdileri'!AJ29-'Proje girdileri'!AI29)</x:f>
        <x:v>-165</x:v>
      </x:c>
      <x:c r="C29" s="24" t="n">
        <x:f>IF(2&gt;'Ayarlar'!$B$6,0,IF(MAX(0,'Ayarlar'!$B$6-IF('Ayarlar'!$B$7&lt;=0,99,ROUNDUP(MAX('Proje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girdileri'!AD29/'Ayarlar'!$B$7,0))/(52/12),0)),2-1&lt;'Proje girdileri'!AH29),POWER(1-'Proje girdileri'!AT29,2-1),0)+IF(AND(2&gt;IF('Ayarlar'!$B$7&lt;=0,99,ROUNDUP(MAX('Proje girdileri'!AC29,ROUNDUP('Proje girdileri'!AD29/'Ayarlar'!$B$7,0))/(52/12),0)),2-2&lt;'Proje girdileri'!AH29),POWER(1-'Proje girdileri'!AT29,2-2),0)),IF(2&gt;IF('Ayarlar'!$B$7&lt;=0,99,ROUNDUP(MAX('Proje girdileri'!AC29,ROUNDUP('Proje girdileri'!AD29/'Ayarlar'!$B$7,0))/(52/12),0)),1,0))*('Proje girdileri'!Y29*(1-'Proje girdileri'!AA29-'Proje girdileri'!AB29)-'Proje girdileri'!Z29))-'Proje girdileri'!AJ29)</x:f>
        <x:v>376.2</x:v>
      </x:c>
      <x:c r="D29" s="24" t="n">
        <x:f>IF(3&gt;'Ayarlar'!$B$6,0,IF(MAX(0,'Ayarlar'!$B$6-IF('Ayarlar'!$B$7&lt;=0,99,ROUNDUP(MAX('Proje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girdileri'!AD29/'Ayarlar'!$B$7,0))/(52/12),0)),3-1&lt;'Proje girdileri'!AH29),POWER(1-'Proje girdileri'!AT29,3-1),0)+IF(AND(2&gt;IF('Ayarlar'!$B$7&lt;=0,99,ROUNDUP(MAX('Proje girdileri'!AC29,ROUNDUP('Proje girdileri'!AD29/'Ayarlar'!$B$7,0))/(52/12),0)),3-2&lt;'Proje girdileri'!AH29),POWER(1-'Proje girdileri'!AT29,3-2),0)+IF(AND(3&gt;IF('Ayarlar'!$B$7&lt;=0,99,ROUNDUP(MAX('Proje girdileri'!AC29,ROUNDUP('Proje girdileri'!AD29/'Ayarlar'!$B$7,0))/(52/12),0)),3-3&lt;'Proje girdileri'!AH29),POWER(1-'Proje girdileri'!AT29,3-3),0)),IF(3&gt;IF('Ayarlar'!$B$7&lt;=0,99,ROUNDUP(MAX('Proje girdileri'!AC29,ROUNDUP('Proje girdileri'!AD29/'Ayarlar'!$B$7,0))/(52/12),0)),1,0))*('Proje girdileri'!Y29*(1-'Proje girdileri'!AA29-'Proje girdileri'!AB29)-'Proje girdileri'!Z29))-'Proje girdileri'!AJ29)</x:f>
        <x:v>376.2</x:v>
      </x:c>
      <x:c r="E29" s="24" t="n">
        <x:f>IF(4&gt;'Ayarlar'!$B$6,0,IF(MAX(0,'Ayarlar'!$B$6-IF('Ayarlar'!$B$7&lt;=0,99,ROUNDUP(MAX('Proje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girdileri'!AD29/'Ayarlar'!$B$7,0))/(52/12),0)),4-1&lt;'Proje girdileri'!AH29),POWER(1-'Proje girdileri'!AT29,4-1),0)+IF(AND(2&gt;IF('Ayarlar'!$B$7&lt;=0,99,ROUNDUP(MAX('Proje girdileri'!AC29,ROUNDUP('Proje girdileri'!AD29/'Ayarlar'!$B$7,0))/(52/12),0)),4-2&lt;'Proje girdileri'!AH29),POWER(1-'Proje girdileri'!AT29,4-2),0)+IF(AND(3&gt;IF('Ayarlar'!$B$7&lt;=0,99,ROUNDUP(MAX('Proje girdileri'!AC29,ROUNDUP('Proje girdileri'!AD29/'Ayarlar'!$B$7,0))/(52/12),0)),4-3&lt;'Proje girdileri'!AH29),POWER(1-'Proje girdileri'!AT29,4-3),0)+IF(AND(4&gt;IF('Ayarlar'!$B$7&lt;=0,99,ROUNDUP(MAX('Proje girdileri'!AC29,ROUNDUP('Proje girdileri'!AD29/'Ayarlar'!$B$7,0))/(52/12),0)),4-4&lt;'Proje girdileri'!AH29),POWER(1-'Proje girdileri'!AT29,4-4),0)),IF(4&gt;IF('Ayarlar'!$B$7&lt;=0,99,ROUNDUP(MAX('Proje girdileri'!AC29,ROUNDUP('Proje girdileri'!AD29/'Ayarlar'!$B$7,0))/(52/12),0)),1,0))*('Proje girdileri'!Y29*(1-'Proje girdileri'!AA29-'Proje girdileri'!AB29)-'Proje girdileri'!Z29))-'Proje girdileri'!AJ29)</x:f>
        <x:v>376.2</x:v>
      </x:c>
      <x:c r="F29" s="24" t="n">
        <x:f>IF(5&gt;'Ayarlar'!$B$6,0,IF(MAX(0,'Ayarlar'!$B$6-IF('Ayarlar'!$B$7&lt;=0,99,ROUNDUP(MAX('Proje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girdileri'!AD29/'Ayarlar'!$B$7,0))/(52/12),0)),5-1&lt;'Proje girdileri'!AH29),POWER(1-'Proje girdileri'!AT29,5-1),0)+IF(AND(2&gt;IF('Ayarlar'!$B$7&lt;=0,99,ROUNDUP(MAX('Proje girdileri'!AC29,ROUNDUP('Proje girdileri'!AD29/'Ayarlar'!$B$7,0))/(52/12),0)),5-2&lt;'Proje girdileri'!AH29),POWER(1-'Proje girdileri'!AT29,5-2),0)+IF(AND(3&gt;IF('Ayarlar'!$B$7&lt;=0,99,ROUNDUP(MAX('Proje girdileri'!AC29,ROUNDUP('Proje girdileri'!AD29/'Ayarlar'!$B$7,0))/(52/12),0)),5-3&lt;'Proje girdileri'!AH29),POWER(1-'Proje girdileri'!AT29,5-3),0)+IF(AND(4&gt;IF('Ayarlar'!$B$7&lt;=0,99,ROUNDUP(MAX('Proje girdileri'!AC29,ROUNDUP('Proje girdileri'!AD29/'Ayarlar'!$B$7,0))/(52/12),0)),5-4&lt;'Proje girdileri'!AH29),POWER(1-'Proje girdileri'!AT29,5-4),0)+IF(AND(5&gt;IF('Ayarlar'!$B$7&lt;=0,99,ROUNDUP(MAX('Proje girdileri'!AC29,ROUNDUP('Proje girdileri'!AD29/'Ayarlar'!$B$7,0))/(52/12),0)),5-5&lt;'Proje girdileri'!AH29),POWER(1-'Proje girdileri'!AT29,5-5),0)),IF(5&gt;IF('Ayarlar'!$B$7&lt;=0,99,ROUNDUP(MAX('Proje girdileri'!AC29,ROUNDUP('Proje girdileri'!AD29/'Ayarlar'!$B$7,0))/(52/12),0)),1,0))*('Proje girdileri'!Y29*(1-'Proje girdileri'!AA29-'Proje girdileri'!AB29)-'Proje girdileri'!Z29))-'Proje girdileri'!AJ29)</x:f>
        <x:v>376.2</x:v>
      </x:c>
      <x:c r="G29" s="24" t="n">
        <x:f>IF(6&gt;'Ayarlar'!$B$6,0,IF(MAX(0,'Ayarlar'!$B$6-IF('Ayarlar'!$B$7&lt;=0,99,ROUNDUP(MAX('Proje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girdileri'!AD29/'Ayarlar'!$B$7,0))/(52/12),0)),6-1&lt;'Proje girdileri'!AH29),POWER(1-'Proje girdileri'!AT29,6-1),0)+IF(AND(2&gt;IF('Ayarlar'!$B$7&lt;=0,99,ROUNDUP(MAX('Proje girdileri'!AC29,ROUNDUP('Proje girdileri'!AD29/'Ayarlar'!$B$7,0))/(52/12),0)),6-2&lt;'Proje girdileri'!AH29),POWER(1-'Proje girdileri'!AT29,6-2),0)+IF(AND(3&gt;IF('Ayarlar'!$B$7&lt;=0,99,ROUNDUP(MAX('Proje girdileri'!AC29,ROUNDUP('Proje girdileri'!AD29/'Ayarlar'!$B$7,0))/(52/12),0)),6-3&lt;'Proje girdileri'!AH29),POWER(1-'Proje girdileri'!AT29,6-3),0)+IF(AND(4&gt;IF('Ayarlar'!$B$7&lt;=0,99,ROUNDUP(MAX('Proje girdileri'!AC29,ROUNDUP('Proje girdileri'!AD29/'Ayarlar'!$B$7,0))/(52/12),0)),6-4&lt;'Proje girdileri'!AH29),POWER(1-'Proje girdileri'!AT29,6-4),0)+IF(AND(5&gt;IF('Ayarlar'!$B$7&lt;=0,99,ROUNDUP(MAX('Proje girdileri'!AC29,ROUNDUP('Proje girdileri'!AD29/'Ayarlar'!$B$7,0))/(52/12),0)),6-5&lt;'Proje girdileri'!AH29),POWER(1-'Proje girdileri'!AT29,6-5),0)+IF(AND(6&gt;IF('Ayarlar'!$B$7&lt;=0,99,ROUNDUP(MAX('Proje girdileri'!AC29,ROUNDUP('Proje girdileri'!AD29/'Ayarlar'!$B$7,0))/(52/12),0)),6-6&lt;'Proje girdileri'!AH29),POWER(1-'Proje girdileri'!AT29,6-6),0)),IF(6&gt;IF('Ayarlar'!$B$7&lt;=0,99,ROUNDUP(MAX('Proje girdileri'!AC29,ROUNDUP('Proje girdileri'!AD29/'Ayarlar'!$B$7,0))/(52/12),0)),1,0))*('Proje girdileri'!Y29*(1-'Proje girdileri'!AA29-'Proje girdileri'!AB29)-'Proje girdileri'!Z29))-'Proje girdileri'!AJ29)</x:f>
        <x:v>376.2</x:v>
      </x:c>
      <x:c r="H29" s="24" t="n">
        <x:f>IF(7&gt;'Ayarlar'!$B$6,0,IF(MAX(0,'Ayarlar'!$B$6-IF('Ayarlar'!$B$7&lt;=0,99,ROUNDUP(MAX('Proje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girdileri'!AD29/'Ayarlar'!$B$7,0))/(52/12),0)),7-1&lt;'Proje girdileri'!AH29),POWER(1-'Proje girdileri'!AT29,7-1),0)+IF(AND(2&gt;IF('Ayarlar'!$B$7&lt;=0,99,ROUNDUP(MAX('Proje girdileri'!AC29,ROUNDUP('Proje girdileri'!AD29/'Ayarlar'!$B$7,0))/(52/12),0)),7-2&lt;'Proje girdileri'!AH29),POWER(1-'Proje girdileri'!AT29,7-2),0)+IF(AND(3&gt;IF('Ayarlar'!$B$7&lt;=0,99,ROUNDUP(MAX('Proje girdileri'!AC29,ROUNDUP('Proje girdileri'!AD29/'Ayarlar'!$B$7,0))/(52/12),0)),7-3&lt;'Proje girdileri'!AH29),POWER(1-'Proje girdileri'!AT29,7-3),0)+IF(AND(4&gt;IF('Ayarlar'!$B$7&lt;=0,99,ROUNDUP(MAX('Proje girdileri'!AC29,ROUNDUP('Proje girdileri'!AD29/'Ayarlar'!$B$7,0))/(52/12),0)),7-4&lt;'Proje girdileri'!AH29),POWER(1-'Proje girdileri'!AT29,7-4),0)+IF(AND(5&gt;IF('Ayarlar'!$B$7&lt;=0,99,ROUNDUP(MAX('Proje girdileri'!AC29,ROUNDUP('Proje girdileri'!AD29/'Ayarlar'!$B$7,0))/(52/12),0)),7-5&lt;'Proje girdileri'!AH29),POWER(1-'Proje girdileri'!AT29,7-5),0)+IF(AND(6&gt;IF('Ayarlar'!$B$7&lt;=0,99,ROUNDUP(MAX('Proje girdileri'!AC29,ROUNDUP('Proje girdileri'!AD29/'Ayarlar'!$B$7,0))/(52/12),0)),7-6&lt;'Proje girdileri'!AH29),POWER(1-'Proje girdileri'!AT29,7-6),0)+IF(AND(7&gt;IF('Ayarlar'!$B$7&lt;=0,99,ROUNDUP(MAX('Proje girdileri'!AC29,ROUNDUP('Proje girdileri'!AD29/'Ayarlar'!$B$7,0))/(52/12),0)),7-7&lt;'Proje girdileri'!AH29),POWER(1-'Proje girdileri'!AT29,7-7),0)),IF(7&gt;IF('Ayarlar'!$B$7&lt;=0,99,ROUNDUP(MAX('Proje girdileri'!AC29,ROUNDUP('Proje girdileri'!AD29/'Ayarlar'!$B$7,0))/(52/12),0)),1,0))*('Proje girdileri'!Y29*(1-'Proje girdileri'!AA29-'Proje girdileri'!AB29)-'Proje girdileri'!Z29))-'Proje girdileri'!AJ29)</x:f>
        <x:v>0</x:v>
      </x:c>
      <x:c r="I29" s="24" t="n">
        <x:f>IF(8&gt;'Ayarlar'!$B$6,0,IF(MAX(0,'Ayarlar'!$B$6-IF('Ayarlar'!$B$7&lt;=0,99,ROUNDUP(MAX('Proje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girdileri'!AD29/'Ayarlar'!$B$7,0))/(52/12),0)),8-1&lt;'Proje girdileri'!AH29),POWER(1-'Proje girdileri'!AT29,8-1),0)+IF(AND(2&gt;IF('Ayarlar'!$B$7&lt;=0,99,ROUNDUP(MAX('Proje girdileri'!AC29,ROUNDUP('Proje girdileri'!AD29/'Ayarlar'!$B$7,0))/(52/12),0)),8-2&lt;'Proje girdileri'!AH29),POWER(1-'Proje girdileri'!AT29,8-2),0)+IF(AND(3&gt;IF('Ayarlar'!$B$7&lt;=0,99,ROUNDUP(MAX('Proje girdileri'!AC29,ROUNDUP('Proje girdileri'!AD29/'Ayarlar'!$B$7,0))/(52/12),0)),8-3&lt;'Proje girdileri'!AH29),POWER(1-'Proje girdileri'!AT29,8-3),0)+IF(AND(4&gt;IF('Ayarlar'!$B$7&lt;=0,99,ROUNDUP(MAX('Proje girdileri'!AC29,ROUNDUP('Proje girdileri'!AD29/'Ayarlar'!$B$7,0))/(52/12),0)),8-4&lt;'Proje girdileri'!AH29),POWER(1-'Proje girdileri'!AT29,8-4),0)+IF(AND(5&gt;IF('Ayarlar'!$B$7&lt;=0,99,ROUNDUP(MAX('Proje girdileri'!AC29,ROUNDUP('Proje girdileri'!AD29/'Ayarlar'!$B$7,0))/(52/12),0)),8-5&lt;'Proje girdileri'!AH29),POWER(1-'Proje girdileri'!AT29,8-5),0)+IF(AND(6&gt;IF('Ayarlar'!$B$7&lt;=0,99,ROUNDUP(MAX('Proje girdileri'!AC29,ROUNDUP('Proje girdileri'!AD29/'Ayarlar'!$B$7,0))/(52/12),0)),8-6&lt;'Proje girdileri'!AH29),POWER(1-'Proje girdileri'!AT29,8-6),0)+IF(AND(7&gt;IF('Ayarlar'!$B$7&lt;=0,99,ROUNDUP(MAX('Proje girdileri'!AC29,ROUNDUP('Proje girdileri'!AD29/'Ayarlar'!$B$7,0))/(52/12),0)),8-7&lt;'Proje girdileri'!AH29),POWER(1-'Proje girdileri'!AT29,8-7),0)+IF(AND(8&gt;IF('Ayarlar'!$B$7&lt;=0,99,ROUNDUP(MAX('Proje girdileri'!AC29,ROUNDUP('Proje girdileri'!AD29/'Ayarlar'!$B$7,0))/(52/12),0)),8-8&lt;'Proje girdileri'!AH29),POWER(1-'Proje girdileri'!AT29,8-8),0)),IF(8&gt;IF('Ayarlar'!$B$7&lt;=0,99,ROUNDUP(MAX('Proje girdileri'!AC29,ROUNDUP('Proje girdileri'!AD29/'Ayarlar'!$B$7,0))/(52/12),0)),1,0))*('Proje girdileri'!Y29*(1-'Proje girdileri'!AA29-'Proje girdileri'!AB29)-'Proje girdileri'!Z29))-'Proje girdileri'!AJ29)</x:f>
        <x:v>0</x:v>
      </x:c>
      <x:c r="J29" s="24" t="n">
        <x:f>IF(9&gt;'Ayarlar'!$B$6,0,IF(MAX(0,'Ayarlar'!$B$6-IF('Ayarlar'!$B$7&lt;=0,99,ROUNDUP(MAX('Proje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girdileri'!AD29/'Ayarlar'!$B$7,0))/(52/12),0)),9-1&lt;'Proje girdileri'!AH29),POWER(1-'Proje girdileri'!AT29,9-1),0)+IF(AND(2&gt;IF('Ayarlar'!$B$7&lt;=0,99,ROUNDUP(MAX('Proje girdileri'!AC29,ROUNDUP('Proje girdileri'!AD29/'Ayarlar'!$B$7,0))/(52/12),0)),9-2&lt;'Proje girdileri'!AH29),POWER(1-'Proje girdileri'!AT29,9-2),0)+IF(AND(3&gt;IF('Ayarlar'!$B$7&lt;=0,99,ROUNDUP(MAX('Proje girdileri'!AC29,ROUNDUP('Proje girdileri'!AD29/'Ayarlar'!$B$7,0))/(52/12),0)),9-3&lt;'Proje girdileri'!AH29),POWER(1-'Proje girdileri'!AT29,9-3),0)+IF(AND(4&gt;IF('Ayarlar'!$B$7&lt;=0,99,ROUNDUP(MAX('Proje girdileri'!AC29,ROUNDUP('Proje girdileri'!AD29/'Ayarlar'!$B$7,0))/(52/12),0)),9-4&lt;'Proje girdileri'!AH29),POWER(1-'Proje girdileri'!AT29,9-4),0)+IF(AND(5&gt;IF('Ayarlar'!$B$7&lt;=0,99,ROUNDUP(MAX('Proje girdileri'!AC29,ROUNDUP('Proje girdileri'!AD29/'Ayarlar'!$B$7,0))/(52/12),0)),9-5&lt;'Proje girdileri'!AH29),POWER(1-'Proje girdileri'!AT29,9-5),0)+IF(AND(6&gt;IF('Ayarlar'!$B$7&lt;=0,99,ROUNDUP(MAX('Proje girdileri'!AC29,ROUNDUP('Proje girdileri'!AD29/'Ayarlar'!$B$7,0))/(52/12),0)),9-6&lt;'Proje girdileri'!AH29),POWER(1-'Proje girdileri'!AT29,9-6),0)+IF(AND(7&gt;IF('Ayarlar'!$B$7&lt;=0,99,ROUNDUP(MAX('Proje girdileri'!AC29,ROUNDUP('Proje girdileri'!AD29/'Ayarlar'!$B$7,0))/(52/12),0)),9-7&lt;'Proje girdileri'!AH29),POWER(1-'Proje girdileri'!AT29,9-7),0)+IF(AND(8&gt;IF('Ayarlar'!$B$7&lt;=0,99,ROUNDUP(MAX('Proje girdileri'!AC29,ROUNDUP('Proje girdileri'!AD29/'Ayarlar'!$B$7,0))/(52/12),0)),9-8&lt;'Proje girdileri'!AH29),POWER(1-'Proje girdileri'!AT29,9-8),0)+IF(AND(9&gt;IF('Ayarlar'!$B$7&lt;=0,99,ROUNDUP(MAX('Proje girdileri'!AC29,ROUNDUP('Proje girdileri'!AD29/'Ayarlar'!$B$7,0))/(52/12),0)),9-9&lt;'Proje girdileri'!AH29),POWER(1-'Proje girdileri'!AT29,9-9),0)),IF(9&gt;IF('Ayarlar'!$B$7&lt;=0,99,ROUNDUP(MAX('Proje girdileri'!AC29,ROUNDUP('Proje girdileri'!AD29/'Ayarlar'!$B$7,0))/(52/12),0)),1,0))*('Proje girdileri'!Y29*(1-'Proje girdileri'!AA29-'Proje girdileri'!AB29)-'Proje girdileri'!Z29))-'Proje girdileri'!AJ29)</x:f>
        <x:v>0</x:v>
      </x:c>
      <x:c r="K29" s="24" t="n">
        <x:f>IF(10&gt;'Ayarlar'!$B$6,0,IF(MAX(0,'Ayarlar'!$B$6-IF('Ayarlar'!$B$7&lt;=0,99,ROUNDUP(MAX('Proje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girdileri'!AD29/'Ayarlar'!$B$7,0))/(52/12),0)),10-1&lt;'Proje girdileri'!AH29),POWER(1-'Proje girdileri'!AT29,10-1),0)+IF(AND(2&gt;IF('Ayarlar'!$B$7&lt;=0,99,ROUNDUP(MAX('Proje girdileri'!AC29,ROUNDUP('Proje girdileri'!AD29/'Ayarlar'!$B$7,0))/(52/12),0)),10-2&lt;'Proje girdileri'!AH29),POWER(1-'Proje girdileri'!AT29,10-2),0)+IF(AND(3&gt;IF('Ayarlar'!$B$7&lt;=0,99,ROUNDUP(MAX('Proje girdileri'!AC29,ROUNDUP('Proje girdileri'!AD29/'Ayarlar'!$B$7,0))/(52/12),0)),10-3&lt;'Proje girdileri'!AH29),POWER(1-'Proje girdileri'!AT29,10-3),0)+IF(AND(4&gt;IF('Ayarlar'!$B$7&lt;=0,99,ROUNDUP(MAX('Proje girdileri'!AC29,ROUNDUP('Proje girdileri'!AD29/'Ayarlar'!$B$7,0))/(52/12),0)),10-4&lt;'Proje girdileri'!AH29),POWER(1-'Proje girdileri'!AT29,10-4),0)+IF(AND(5&gt;IF('Ayarlar'!$B$7&lt;=0,99,ROUNDUP(MAX('Proje girdileri'!AC29,ROUNDUP('Proje girdileri'!AD29/'Ayarlar'!$B$7,0))/(52/12),0)),10-5&lt;'Proje girdileri'!AH29),POWER(1-'Proje girdileri'!AT29,10-5),0)+IF(AND(6&gt;IF('Ayarlar'!$B$7&lt;=0,99,ROUNDUP(MAX('Proje girdileri'!AC29,ROUNDUP('Proje girdileri'!AD29/'Ayarlar'!$B$7,0))/(52/12),0)),10-6&lt;'Proje girdileri'!AH29),POWER(1-'Proje girdileri'!AT29,10-6),0)+IF(AND(7&gt;IF('Ayarlar'!$B$7&lt;=0,99,ROUNDUP(MAX('Proje girdileri'!AC29,ROUNDUP('Proje girdileri'!AD29/'Ayarlar'!$B$7,0))/(52/12),0)),10-7&lt;'Proje girdileri'!AH29),POWER(1-'Proje girdileri'!AT29,10-7),0)+IF(AND(8&gt;IF('Ayarlar'!$B$7&lt;=0,99,ROUNDUP(MAX('Proje girdileri'!AC29,ROUNDUP('Proje girdileri'!AD29/'Ayarlar'!$B$7,0))/(52/12),0)),10-8&lt;'Proje girdileri'!AH29),POWER(1-'Proje girdileri'!AT29,10-8),0)+IF(AND(9&gt;IF('Ayarlar'!$B$7&lt;=0,99,ROUNDUP(MAX('Proje girdileri'!AC29,ROUNDUP('Proje girdileri'!AD29/'Ayarlar'!$B$7,0))/(52/12),0)),10-9&lt;'Proje girdileri'!AH29),POWER(1-'Proje girdileri'!AT29,10-9),0)+IF(AND(10&gt;IF('Ayarlar'!$B$7&lt;=0,99,ROUNDUP(MAX('Proje girdileri'!AC29,ROUNDUP('Proje girdileri'!AD29/'Ayarlar'!$B$7,0))/(52/12),0)),10-10&lt;'Proje girdileri'!AH29),POWER(1-'Proje girdileri'!AT29,10-10),0)),IF(10&gt;IF('Ayarlar'!$B$7&lt;=0,99,ROUNDUP(MAX('Proje girdileri'!AC29,ROUNDUP('Proje girdileri'!AD29/'Ayarlar'!$B$7,0))/(52/12),0)),1,0))*('Proje girdileri'!Y29*(1-'Proje girdileri'!AA29-'Proje girdileri'!AB29)-'Proje girdileri'!Z29))-'Proje girdileri'!AJ29)</x:f>
        <x:v>0</x:v>
      </x:c>
      <x:c r="L29" s="24" t="n">
        <x:f>IF(11&gt;'Ayarlar'!$B$6,0,IF(MAX(0,'Ayarlar'!$B$6-IF('Ayarlar'!$B$7&lt;=0,99,ROUNDUP(MAX('Proje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girdileri'!AD29/'Ayarlar'!$B$7,0))/(52/12),0)),11-1&lt;'Proje girdileri'!AH29),POWER(1-'Proje girdileri'!AT29,11-1),0)+IF(AND(2&gt;IF('Ayarlar'!$B$7&lt;=0,99,ROUNDUP(MAX('Proje girdileri'!AC29,ROUNDUP('Proje girdileri'!AD29/'Ayarlar'!$B$7,0))/(52/12),0)),11-2&lt;'Proje girdileri'!AH29),POWER(1-'Proje girdileri'!AT29,11-2),0)+IF(AND(3&gt;IF('Ayarlar'!$B$7&lt;=0,99,ROUNDUP(MAX('Proje girdileri'!AC29,ROUNDUP('Proje girdileri'!AD29/'Ayarlar'!$B$7,0))/(52/12),0)),11-3&lt;'Proje girdileri'!AH29),POWER(1-'Proje girdileri'!AT29,11-3),0)+IF(AND(4&gt;IF('Ayarlar'!$B$7&lt;=0,99,ROUNDUP(MAX('Proje girdileri'!AC29,ROUNDUP('Proje girdileri'!AD29/'Ayarlar'!$B$7,0))/(52/12),0)),11-4&lt;'Proje girdileri'!AH29),POWER(1-'Proje girdileri'!AT29,11-4),0)+IF(AND(5&gt;IF('Ayarlar'!$B$7&lt;=0,99,ROUNDUP(MAX('Proje girdileri'!AC29,ROUNDUP('Proje girdileri'!AD29/'Ayarlar'!$B$7,0))/(52/12),0)),11-5&lt;'Proje girdileri'!AH29),POWER(1-'Proje girdileri'!AT29,11-5),0)+IF(AND(6&gt;IF('Ayarlar'!$B$7&lt;=0,99,ROUNDUP(MAX('Proje girdileri'!AC29,ROUNDUP('Proje girdileri'!AD29/'Ayarlar'!$B$7,0))/(52/12),0)),11-6&lt;'Proje girdileri'!AH29),POWER(1-'Proje girdileri'!AT29,11-6),0)+IF(AND(7&gt;IF('Ayarlar'!$B$7&lt;=0,99,ROUNDUP(MAX('Proje girdileri'!AC29,ROUNDUP('Proje girdileri'!AD29/'Ayarlar'!$B$7,0))/(52/12),0)),11-7&lt;'Proje girdileri'!AH29),POWER(1-'Proje girdileri'!AT29,11-7),0)+IF(AND(8&gt;IF('Ayarlar'!$B$7&lt;=0,99,ROUNDUP(MAX('Proje girdileri'!AC29,ROUNDUP('Proje girdileri'!AD29/'Ayarlar'!$B$7,0))/(52/12),0)),11-8&lt;'Proje girdileri'!AH29),POWER(1-'Proje girdileri'!AT29,11-8),0)+IF(AND(9&gt;IF('Ayarlar'!$B$7&lt;=0,99,ROUNDUP(MAX('Proje girdileri'!AC29,ROUNDUP('Proje girdileri'!AD29/'Ayarlar'!$B$7,0))/(52/12),0)),11-9&lt;'Proje girdileri'!AH29),POWER(1-'Proje girdileri'!AT29,11-9),0)+IF(AND(10&gt;IF('Ayarlar'!$B$7&lt;=0,99,ROUNDUP(MAX('Proje girdileri'!AC29,ROUNDUP('Proje girdileri'!AD29/'Ayarlar'!$B$7,0))/(52/12),0)),11-10&lt;'Proje girdileri'!AH29),POWER(1-'Proje girdileri'!AT29,11-10),0)+IF(AND(11&gt;IF('Ayarlar'!$B$7&lt;=0,99,ROUNDUP(MAX('Proje girdileri'!AC29,ROUNDUP('Proje girdileri'!AD29/'Ayarlar'!$B$7,0))/(52/12),0)),11-11&lt;'Proje girdileri'!AH29),POWER(1-'Proje girdileri'!AT29,11-11),0)),IF(11&gt;IF('Ayarlar'!$B$7&lt;=0,99,ROUNDUP(MAX('Proje girdileri'!AC29,ROUNDUP('Proje girdileri'!AD29/'Ayarlar'!$B$7,0))/(52/12),0)),1,0))*('Proje girdileri'!Y29*(1-'Proje girdileri'!AA29-'Proje girdileri'!AB29)-'Proje girdileri'!Z29))-'Proje girdileri'!AJ29)</x:f>
        <x:v>0</x:v>
      </x:c>
      <x:c r="M29" s="24" t="n">
        <x:f>IF(12&gt;'Ayarlar'!$B$6,0,IF(MAX(0,'Ayarlar'!$B$6-IF('Ayarlar'!$B$7&lt;=0,99,ROUNDUP(MAX('Proje girdileri'!AC29,ROUNDUP('Proje girdileri'!AD29/'Ayarlar'!$B$7,0))/(52/12),0)))=0,0,'Hesap'!I29/MAX(0,'Ayarlar'!$B$6-IF('Ayarlar'!$B$7&lt;=0,99,ROUNDUP(MAX('Proje girdileri'!AC29,ROUNDUP('Proje girdileri'!AD29/'Ayarlar'!$B$7,0))/(52/12),0)))*IF('Proje girdileri'!C29="recurring",(IF(AND(1&gt;IF('Ayarlar'!$B$7&lt;=0,99,ROUNDUP(MAX('Proje girdileri'!AC29,ROUNDUP('Proje girdileri'!AD29/'Ayarlar'!$B$7,0))/(52/12),0)),12-1&lt;'Proje girdileri'!AH29),POWER(1-'Proje girdileri'!AT29,12-1),0)+IF(AND(2&gt;IF('Ayarlar'!$B$7&lt;=0,99,ROUNDUP(MAX('Proje girdileri'!AC29,ROUNDUP('Proje girdileri'!AD29/'Ayarlar'!$B$7,0))/(52/12),0)),12-2&lt;'Proje girdileri'!AH29),POWER(1-'Proje girdileri'!AT29,12-2),0)+IF(AND(3&gt;IF('Ayarlar'!$B$7&lt;=0,99,ROUNDUP(MAX('Proje girdileri'!AC29,ROUNDUP('Proje girdileri'!AD29/'Ayarlar'!$B$7,0))/(52/12),0)),12-3&lt;'Proje girdileri'!AH29),POWER(1-'Proje girdileri'!AT29,12-3),0)+IF(AND(4&gt;IF('Ayarlar'!$B$7&lt;=0,99,ROUNDUP(MAX('Proje girdileri'!AC29,ROUNDUP('Proje girdileri'!AD29/'Ayarlar'!$B$7,0))/(52/12),0)),12-4&lt;'Proje girdileri'!AH29),POWER(1-'Proje girdileri'!AT29,12-4),0)+IF(AND(5&gt;IF('Ayarlar'!$B$7&lt;=0,99,ROUNDUP(MAX('Proje girdileri'!AC29,ROUNDUP('Proje girdileri'!AD29/'Ayarlar'!$B$7,0))/(52/12),0)),12-5&lt;'Proje girdileri'!AH29),POWER(1-'Proje girdileri'!AT29,12-5),0)+IF(AND(6&gt;IF('Ayarlar'!$B$7&lt;=0,99,ROUNDUP(MAX('Proje girdileri'!AC29,ROUNDUP('Proje girdileri'!AD29/'Ayarlar'!$B$7,0))/(52/12),0)),12-6&lt;'Proje girdileri'!AH29),POWER(1-'Proje girdileri'!AT29,12-6),0)+IF(AND(7&gt;IF('Ayarlar'!$B$7&lt;=0,99,ROUNDUP(MAX('Proje girdileri'!AC29,ROUNDUP('Proje girdileri'!AD29/'Ayarlar'!$B$7,0))/(52/12),0)),12-7&lt;'Proje girdileri'!AH29),POWER(1-'Proje girdileri'!AT29,12-7),0)+IF(AND(8&gt;IF('Ayarlar'!$B$7&lt;=0,99,ROUNDUP(MAX('Proje girdileri'!AC29,ROUNDUP('Proje girdileri'!AD29/'Ayarlar'!$B$7,0))/(52/12),0)),12-8&lt;'Proje girdileri'!AH29),POWER(1-'Proje girdileri'!AT29,12-8),0)+IF(AND(9&gt;IF('Ayarlar'!$B$7&lt;=0,99,ROUNDUP(MAX('Proje girdileri'!AC29,ROUNDUP('Proje girdileri'!AD29/'Ayarlar'!$B$7,0))/(52/12),0)),12-9&lt;'Proje girdileri'!AH29),POWER(1-'Proje girdileri'!AT29,12-9),0)+IF(AND(10&gt;IF('Ayarlar'!$B$7&lt;=0,99,ROUNDUP(MAX('Proje girdileri'!AC29,ROUNDUP('Proje girdileri'!AD29/'Ayarlar'!$B$7,0))/(52/12),0)),12-10&lt;'Proje girdileri'!AH29),POWER(1-'Proje girdileri'!AT29,12-10),0)+IF(AND(11&gt;IF('Ayarlar'!$B$7&lt;=0,99,ROUNDUP(MAX('Proje girdileri'!AC29,ROUNDUP('Proje girdileri'!AD29/'Ayarlar'!$B$7,0))/(52/12),0)),12-11&lt;'Proje girdileri'!AH29),POWER(1-'Proje girdileri'!AT29,12-11),0)+IF(AND(12&gt;IF('Ayarlar'!$B$7&lt;=0,99,ROUNDUP(MAX('Proje girdileri'!AC29,ROUNDUP('Proje girdileri'!AD29/'Ayarlar'!$B$7,0))/(52/12),0)),12-12&lt;'Proje girdileri'!AH29),POWER(1-'Proje girdileri'!AT29,12-12),0)),IF(12&gt;IF('Ayarlar'!$B$7&lt;=0,99,ROUNDUP(MAX('Proje girdileri'!AC29,ROUNDUP('Proje girdileri'!AD29/'Ayarlar'!$B$7,0))/(52/12),0)),1,0))*('Proje girdileri'!Y29*(1-'Proje girdileri'!AA29-'Proje girdileri'!AB29)-'Proje girdileri'!Z29))-'Proje girdileri'!AJ29)</x:f>
        <x:v>0</x:v>
      </x:c>
      <x:c r="N29" s="24" t="n">
        <x:f>SUM(B29:M29)</x:f>
        <x:v>1716</x:v>
      </x:c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</x:row>
    <x:row r="30" ht="24" customHeight="1">
      <x:c r="A30" s="2" t="str">
        <x:f>'Hesap'!B30</x:f>
        <x:v>Özgün karar notu</x:v>
      </x:c>
      <x:c r="B30" s="24" t="n">
        <x:f>IF(1&gt;'Ayarlar'!$B$6,0,IF(MAX(0,'Ayarlar'!$B$6-IF('Ayarlar'!$B$7&lt;=0,99,ROUNDUP(MAX('Proje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girdileri'!AD30/'Ayarlar'!$B$7,0))/(52/12),0)),1-1&lt;'Proje girdileri'!AH30),POWER(1-'Proje girdileri'!AT30,1-1),0)),IF(1&gt;IF('Ayarlar'!$B$7&lt;=0,99,ROUNDUP(MAX('Proje girdileri'!AC30,ROUNDUP('Proje girdileri'!AD30/'Ayarlar'!$B$7,0))/(52/12),0)),1,0))*('Proje girdileri'!Y30*(1-'Proje girdileri'!AA30-'Proje girdileri'!AB30)-'Proje girdileri'!Z30))-'Proje girdileri'!AJ30-'Proje girdileri'!AI30)</x:f>
        <x:v>-110</x:v>
      </x:c>
      <x:c r="C30" s="24" t="n">
        <x:f>IF(2&gt;'Ayarlar'!$B$6,0,IF(MAX(0,'Ayarlar'!$B$6-IF('Ayarlar'!$B$7&lt;=0,99,ROUNDUP(MAX('Proje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girdileri'!AD30/'Ayarlar'!$B$7,0))/(52/12),0)),2-1&lt;'Proje girdileri'!AH30),POWER(1-'Proje girdileri'!AT30,2-1),0)+IF(AND(2&gt;IF('Ayarlar'!$B$7&lt;=0,99,ROUNDUP(MAX('Proje girdileri'!AC30,ROUNDUP('Proje girdileri'!AD30/'Ayarlar'!$B$7,0))/(52/12),0)),2-2&lt;'Proje girdileri'!AH30),POWER(1-'Proje girdileri'!AT30,2-2),0)),IF(2&gt;IF('Ayarlar'!$B$7&lt;=0,99,ROUNDUP(MAX('Proje girdileri'!AC30,ROUNDUP('Proje girdileri'!AD30/'Ayarlar'!$B$7,0))/(52/12),0)),1,0))*('Proje girdileri'!Y30*(1-'Proje girdileri'!AA30-'Proje girdileri'!AB30)-'Proje girdileri'!Z30))-'Proje girdileri'!AJ30)</x:f>
        <x:v>-10</x:v>
      </x:c>
      <x:c r="D30" s="24" t="n">
        <x:f>IF(3&gt;'Ayarlar'!$B$6,0,IF(MAX(0,'Ayarlar'!$B$6-IF('Ayarlar'!$B$7&lt;=0,99,ROUNDUP(MAX('Proje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girdileri'!AD30/'Ayarlar'!$B$7,0))/(52/12),0)),3-1&lt;'Proje girdileri'!AH30),POWER(1-'Proje girdileri'!AT30,3-1),0)+IF(AND(2&gt;IF('Ayarlar'!$B$7&lt;=0,99,ROUNDUP(MAX('Proje girdileri'!AC30,ROUNDUP('Proje girdileri'!AD30/'Ayarlar'!$B$7,0))/(52/12),0)),3-2&lt;'Proje girdileri'!AH30),POWER(1-'Proje girdileri'!AT30,3-2),0)+IF(AND(3&gt;IF('Ayarlar'!$B$7&lt;=0,99,ROUNDUP(MAX('Proje girdileri'!AC30,ROUNDUP('Proje girdileri'!AD30/'Ayarlar'!$B$7,0))/(52/12),0)),3-3&lt;'Proje girdileri'!AH30),POWER(1-'Proje girdileri'!AT30,3-3),0)),IF(3&gt;IF('Ayarlar'!$B$7&lt;=0,99,ROUNDUP(MAX('Proje girdileri'!AC30,ROUNDUP('Proje girdileri'!AD30/'Ayarlar'!$B$7,0))/(52/12),0)),1,0))*('Proje girdileri'!Y30*(1-'Proje girdileri'!AA30-'Proje girdileri'!AB30)-'Proje girdileri'!Z30))-'Proje girdileri'!AJ30)</x:f>
        <x:v>361.4</x:v>
      </x:c>
      <x:c r="E30" s="24" t="n">
        <x:f>IF(4&gt;'Ayarlar'!$B$6,0,IF(MAX(0,'Ayarlar'!$B$6-IF('Ayarlar'!$B$7&lt;=0,99,ROUNDUP(MAX('Proje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girdileri'!AD30/'Ayarlar'!$B$7,0))/(52/12),0)),4-1&lt;'Proje girdileri'!AH30),POWER(1-'Proje girdileri'!AT30,4-1),0)+IF(AND(2&gt;IF('Ayarlar'!$B$7&lt;=0,99,ROUNDUP(MAX('Proje girdileri'!AC30,ROUNDUP('Proje girdileri'!AD30/'Ayarlar'!$B$7,0))/(52/12),0)),4-2&lt;'Proje girdileri'!AH30),POWER(1-'Proje girdileri'!AT30,4-2),0)+IF(AND(3&gt;IF('Ayarlar'!$B$7&lt;=0,99,ROUNDUP(MAX('Proje girdileri'!AC30,ROUNDUP('Proje girdileri'!AD30/'Ayarlar'!$B$7,0))/(52/12),0)),4-3&lt;'Proje girdileri'!AH30),POWER(1-'Proje girdileri'!AT30,4-3),0)+IF(AND(4&gt;IF('Ayarlar'!$B$7&lt;=0,99,ROUNDUP(MAX('Proje girdileri'!AC30,ROUNDUP('Proje girdileri'!AD30/'Ayarlar'!$B$7,0))/(52/12),0)),4-4&lt;'Proje girdileri'!AH30),POWER(1-'Proje girdileri'!AT30,4-4),0)),IF(4&gt;IF('Ayarlar'!$B$7&lt;=0,99,ROUNDUP(MAX('Proje girdileri'!AC30,ROUNDUP('Proje girdileri'!AD30/'Ayarlar'!$B$7,0))/(52/12),0)),1,0))*('Proje girdileri'!Y30*(1-'Proje girdileri'!AA30-'Proje girdileri'!AB30)-'Proje girdileri'!Z30))-'Proje girdileri'!AJ30)</x:f>
        <x:v>361.4</x:v>
      </x:c>
      <x:c r="F30" s="24" t="n">
        <x:f>IF(5&gt;'Ayarlar'!$B$6,0,IF(MAX(0,'Ayarlar'!$B$6-IF('Ayarlar'!$B$7&lt;=0,99,ROUNDUP(MAX('Proje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girdileri'!AD30/'Ayarlar'!$B$7,0))/(52/12),0)),5-1&lt;'Proje girdileri'!AH30),POWER(1-'Proje girdileri'!AT30,5-1),0)+IF(AND(2&gt;IF('Ayarlar'!$B$7&lt;=0,99,ROUNDUP(MAX('Proje girdileri'!AC30,ROUNDUP('Proje girdileri'!AD30/'Ayarlar'!$B$7,0))/(52/12),0)),5-2&lt;'Proje girdileri'!AH30),POWER(1-'Proje girdileri'!AT30,5-2),0)+IF(AND(3&gt;IF('Ayarlar'!$B$7&lt;=0,99,ROUNDUP(MAX('Proje girdileri'!AC30,ROUNDUP('Proje girdileri'!AD30/'Ayarlar'!$B$7,0))/(52/12),0)),5-3&lt;'Proje girdileri'!AH30),POWER(1-'Proje girdileri'!AT30,5-3),0)+IF(AND(4&gt;IF('Ayarlar'!$B$7&lt;=0,99,ROUNDUP(MAX('Proje girdileri'!AC30,ROUNDUP('Proje girdileri'!AD30/'Ayarlar'!$B$7,0))/(52/12),0)),5-4&lt;'Proje girdileri'!AH30),POWER(1-'Proje girdileri'!AT30,5-4),0)+IF(AND(5&gt;IF('Ayarlar'!$B$7&lt;=0,99,ROUNDUP(MAX('Proje girdileri'!AC30,ROUNDUP('Proje girdileri'!AD30/'Ayarlar'!$B$7,0))/(52/12),0)),5-5&lt;'Proje girdileri'!AH30),POWER(1-'Proje girdileri'!AT30,5-5),0)),IF(5&gt;IF('Ayarlar'!$B$7&lt;=0,99,ROUNDUP(MAX('Proje girdileri'!AC30,ROUNDUP('Proje girdileri'!AD30/'Ayarlar'!$B$7,0))/(52/12),0)),1,0))*('Proje girdileri'!Y30*(1-'Proje girdileri'!AA30-'Proje girdileri'!AB30)-'Proje girdileri'!Z30))-'Proje girdileri'!AJ30)</x:f>
        <x:v>361.4</x:v>
      </x:c>
      <x:c r="G30" s="24" t="n">
        <x:f>IF(6&gt;'Ayarlar'!$B$6,0,IF(MAX(0,'Ayarlar'!$B$6-IF('Ayarlar'!$B$7&lt;=0,99,ROUNDUP(MAX('Proje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girdileri'!AD30/'Ayarlar'!$B$7,0))/(52/12),0)),6-1&lt;'Proje girdileri'!AH30),POWER(1-'Proje girdileri'!AT30,6-1),0)+IF(AND(2&gt;IF('Ayarlar'!$B$7&lt;=0,99,ROUNDUP(MAX('Proje girdileri'!AC30,ROUNDUP('Proje girdileri'!AD30/'Ayarlar'!$B$7,0))/(52/12),0)),6-2&lt;'Proje girdileri'!AH30),POWER(1-'Proje girdileri'!AT30,6-2),0)+IF(AND(3&gt;IF('Ayarlar'!$B$7&lt;=0,99,ROUNDUP(MAX('Proje girdileri'!AC30,ROUNDUP('Proje girdileri'!AD30/'Ayarlar'!$B$7,0))/(52/12),0)),6-3&lt;'Proje girdileri'!AH30),POWER(1-'Proje girdileri'!AT30,6-3),0)+IF(AND(4&gt;IF('Ayarlar'!$B$7&lt;=0,99,ROUNDUP(MAX('Proje girdileri'!AC30,ROUNDUP('Proje girdileri'!AD30/'Ayarlar'!$B$7,0))/(52/12),0)),6-4&lt;'Proje girdileri'!AH30),POWER(1-'Proje girdileri'!AT30,6-4),0)+IF(AND(5&gt;IF('Ayarlar'!$B$7&lt;=0,99,ROUNDUP(MAX('Proje girdileri'!AC30,ROUNDUP('Proje girdileri'!AD30/'Ayarlar'!$B$7,0))/(52/12),0)),6-5&lt;'Proje girdileri'!AH30),POWER(1-'Proje girdileri'!AT30,6-5),0)+IF(AND(6&gt;IF('Ayarlar'!$B$7&lt;=0,99,ROUNDUP(MAX('Proje girdileri'!AC30,ROUNDUP('Proje girdileri'!AD30/'Ayarlar'!$B$7,0))/(52/12),0)),6-6&lt;'Proje girdileri'!AH30),POWER(1-'Proje girdileri'!AT30,6-6),0)),IF(6&gt;IF('Ayarlar'!$B$7&lt;=0,99,ROUNDUP(MAX('Proje girdileri'!AC30,ROUNDUP('Proje girdileri'!AD30/'Ayarlar'!$B$7,0))/(52/12),0)),1,0))*('Proje girdileri'!Y30*(1-'Proje girdileri'!AA30-'Proje girdileri'!AB30)-'Proje girdileri'!Z30))-'Proje girdileri'!AJ30)</x:f>
        <x:v>361.4</x:v>
      </x:c>
      <x:c r="H30" s="24" t="n">
        <x:f>IF(7&gt;'Ayarlar'!$B$6,0,IF(MAX(0,'Ayarlar'!$B$6-IF('Ayarlar'!$B$7&lt;=0,99,ROUNDUP(MAX('Proje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girdileri'!AD30/'Ayarlar'!$B$7,0))/(52/12),0)),7-1&lt;'Proje girdileri'!AH30),POWER(1-'Proje girdileri'!AT30,7-1),0)+IF(AND(2&gt;IF('Ayarlar'!$B$7&lt;=0,99,ROUNDUP(MAX('Proje girdileri'!AC30,ROUNDUP('Proje girdileri'!AD30/'Ayarlar'!$B$7,0))/(52/12),0)),7-2&lt;'Proje girdileri'!AH30),POWER(1-'Proje girdileri'!AT30,7-2),0)+IF(AND(3&gt;IF('Ayarlar'!$B$7&lt;=0,99,ROUNDUP(MAX('Proje girdileri'!AC30,ROUNDUP('Proje girdileri'!AD30/'Ayarlar'!$B$7,0))/(52/12),0)),7-3&lt;'Proje girdileri'!AH30),POWER(1-'Proje girdileri'!AT30,7-3),0)+IF(AND(4&gt;IF('Ayarlar'!$B$7&lt;=0,99,ROUNDUP(MAX('Proje girdileri'!AC30,ROUNDUP('Proje girdileri'!AD30/'Ayarlar'!$B$7,0))/(52/12),0)),7-4&lt;'Proje girdileri'!AH30),POWER(1-'Proje girdileri'!AT30,7-4),0)+IF(AND(5&gt;IF('Ayarlar'!$B$7&lt;=0,99,ROUNDUP(MAX('Proje girdileri'!AC30,ROUNDUP('Proje girdileri'!AD30/'Ayarlar'!$B$7,0))/(52/12),0)),7-5&lt;'Proje girdileri'!AH30),POWER(1-'Proje girdileri'!AT30,7-5),0)+IF(AND(6&gt;IF('Ayarlar'!$B$7&lt;=0,99,ROUNDUP(MAX('Proje girdileri'!AC30,ROUNDUP('Proje girdileri'!AD30/'Ayarlar'!$B$7,0))/(52/12),0)),7-6&lt;'Proje girdileri'!AH30),POWER(1-'Proje girdileri'!AT30,7-6),0)+IF(AND(7&gt;IF('Ayarlar'!$B$7&lt;=0,99,ROUNDUP(MAX('Proje girdileri'!AC30,ROUNDUP('Proje girdileri'!AD30/'Ayarlar'!$B$7,0))/(52/12),0)),7-7&lt;'Proje girdileri'!AH30),POWER(1-'Proje girdileri'!AT30,7-7),0)),IF(7&gt;IF('Ayarlar'!$B$7&lt;=0,99,ROUNDUP(MAX('Proje girdileri'!AC30,ROUNDUP('Proje girdileri'!AD30/'Ayarlar'!$B$7,0))/(52/12),0)),1,0))*('Proje girdileri'!Y30*(1-'Proje girdileri'!AA30-'Proje girdileri'!AB30)-'Proje girdileri'!Z30))-'Proje girdileri'!AJ30)</x:f>
        <x:v>0</x:v>
      </x:c>
      <x:c r="I30" s="24" t="n">
        <x:f>IF(8&gt;'Ayarlar'!$B$6,0,IF(MAX(0,'Ayarlar'!$B$6-IF('Ayarlar'!$B$7&lt;=0,99,ROUNDUP(MAX('Proje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girdileri'!AD30/'Ayarlar'!$B$7,0))/(52/12),0)),8-1&lt;'Proje girdileri'!AH30),POWER(1-'Proje girdileri'!AT30,8-1),0)+IF(AND(2&gt;IF('Ayarlar'!$B$7&lt;=0,99,ROUNDUP(MAX('Proje girdileri'!AC30,ROUNDUP('Proje girdileri'!AD30/'Ayarlar'!$B$7,0))/(52/12),0)),8-2&lt;'Proje girdileri'!AH30),POWER(1-'Proje girdileri'!AT30,8-2),0)+IF(AND(3&gt;IF('Ayarlar'!$B$7&lt;=0,99,ROUNDUP(MAX('Proje girdileri'!AC30,ROUNDUP('Proje girdileri'!AD30/'Ayarlar'!$B$7,0))/(52/12),0)),8-3&lt;'Proje girdileri'!AH30),POWER(1-'Proje girdileri'!AT30,8-3),0)+IF(AND(4&gt;IF('Ayarlar'!$B$7&lt;=0,99,ROUNDUP(MAX('Proje girdileri'!AC30,ROUNDUP('Proje girdileri'!AD30/'Ayarlar'!$B$7,0))/(52/12),0)),8-4&lt;'Proje girdileri'!AH30),POWER(1-'Proje girdileri'!AT30,8-4),0)+IF(AND(5&gt;IF('Ayarlar'!$B$7&lt;=0,99,ROUNDUP(MAX('Proje girdileri'!AC30,ROUNDUP('Proje girdileri'!AD30/'Ayarlar'!$B$7,0))/(52/12),0)),8-5&lt;'Proje girdileri'!AH30),POWER(1-'Proje girdileri'!AT30,8-5),0)+IF(AND(6&gt;IF('Ayarlar'!$B$7&lt;=0,99,ROUNDUP(MAX('Proje girdileri'!AC30,ROUNDUP('Proje girdileri'!AD30/'Ayarlar'!$B$7,0))/(52/12),0)),8-6&lt;'Proje girdileri'!AH30),POWER(1-'Proje girdileri'!AT30,8-6),0)+IF(AND(7&gt;IF('Ayarlar'!$B$7&lt;=0,99,ROUNDUP(MAX('Proje girdileri'!AC30,ROUNDUP('Proje girdileri'!AD30/'Ayarlar'!$B$7,0))/(52/12),0)),8-7&lt;'Proje girdileri'!AH30),POWER(1-'Proje girdileri'!AT30,8-7),0)+IF(AND(8&gt;IF('Ayarlar'!$B$7&lt;=0,99,ROUNDUP(MAX('Proje girdileri'!AC30,ROUNDUP('Proje girdileri'!AD30/'Ayarlar'!$B$7,0))/(52/12),0)),8-8&lt;'Proje girdileri'!AH30),POWER(1-'Proje girdileri'!AT30,8-8),0)),IF(8&gt;IF('Ayarlar'!$B$7&lt;=0,99,ROUNDUP(MAX('Proje girdileri'!AC30,ROUNDUP('Proje girdileri'!AD30/'Ayarlar'!$B$7,0))/(52/12),0)),1,0))*('Proje girdileri'!Y30*(1-'Proje girdileri'!AA30-'Proje girdileri'!AB30)-'Proje girdileri'!Z30))-'Proje girdileri'!AJ30)</x:f>
        <x:v>0</x:v>
      </x:c>
      <x:c r="J30" s="24" t="n">
        <x:f>IF(9&gt;'Ayarlar'!$B$6,0,IF(MAX(0,'Ayarlar'!$B$6-IF('Ayarlar'!$B$7&lt;=0,99,ROUNDUP(MAX('Proje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girdileri'!AD30/'Ayarlar'!$B$7,0))/(52/12),0)),9-1&lt;'Proje girdileri'!AH30),POWER(1-'Proje girdileri'!AT30,9-1),0)+IF(AND(2&gt;IF('Ayarlar'!$B$7&lt;=0,99,ROUNDUP(MAX('Proje girdileri'!AC30,ROUNDUP('Proje girdileri'!AD30/'Ayarlar'!$B$7,0))/(52/12),0)),9-2&lt;'Proje girdileri'!AH30),POWER(1-'Proje girdileri'!AT30,9-2),0)+IF(AND(3&gt;IF('Ayarlar'!$B$7&lt;=0,99,ROUNDUP(MAX('Proje girdileri'!AC30,ROUNDUP('Proje girdileri'!AD30/'Ayarlar'!$B$7,0))/(52/12),0)),9-3&lt;'Proje girdileri'!AH30),POWER(1-'Proje girdileri'!AT30,9-3),0)+IF(AND(4&gt;IF('Ayarlar'!$B$7&lt;=0,99,ROUNDUP(MAX('Proje girdileri'!AC30,ROUNDUP('Proje girdileri'!AD30/'Ayarlar'!$B$7,0))/(52/12),0)),9-4&lt;'Proje girdileri'!AH30),POWER(1-'Proje girdileri'!AT30,9-4),0)+IF(AND(5&gt;IF('Ayarlar'!$B$7&lt;=0,99,ROUNDUP(MAX('Proje girdileri'!AC30,ROUNDUP('Proje girdileri'!AD30/'Ayarlar'!$B$7,0))/(52/12),0)),9-5&lt;'Proje girdileri'!AH30),POWER(1-'Proje girdileri'!AT30,9-5),0)+IF(AND(6&gt;IF('Ayarlar'!$B$7&lt;=0,99,ROUNDUP(MAX('Proje girdileri'!AC30,ROUNDUP('Proje girdileri'!AD30/'Ayarlar'!$B$7,0))/(52/12),0)),9-6&lt;'Proje girdileri'!AH30),POWER(1-'Proje girdileri'!AT30,9-6),0)+IF(AND(7&gt;IF('Ayarlar'!$B$7&lt;=0,99,ROUNDUP(MAX('Proje girdileri'!AC30,ROUNDUP('Proje girdileri'!AD30/'Ayarlar'!$B$7,0))/(52/12),0)),9-7&lt;'Proje girdileri'!AH30),POWER(1-'Proje girdileri'!AT30,9-7),0)+IF(AND(8&gt;IF('Ayarlar'!$B$7&lt;=0,99,ROUNDUP(MAX('Proje girdileri'!AC30,ROUNDUP('Proje girdileri'!AD30/'Ayarlar'!$B$7,0))/(52/12),0)),9-8&lt;'Proje girdileri'!AH30),POWER(1-'Proje girdileri'!AT30,9-8),0)+IF(AND(9&gt;IF('Ayarlar'!$B$7&lt;=0,99,ROUNDUP(MAX('Proje girdileri'!AC30,ROUNDUP('Proje girdileri'!AD30/'Ayarlar'!$B$7,0))/(52/12),0)),9-9&lt;'Proje girdileri'!AH30),POWER(1-'Proje girdileri'!AT30,9-9),0)),IF(9&gt;IF('Ayarlar'!$B$7&lt;=0,99,ROUNDUP(MAX('Proje girdileri'!AC30,ROUNDUP('Proje girdileri'!AD30/'Ayarlar'!$B$7,0))/(52/12),0)),1,0))*('Proje girdileri'!Y30*(1-'Proje girdileri'!AA30-'Proje girdileri'!AB30)-'Proje girdileri'!Z30))-'Proje girdileri'!AJ30)</x:f>
        <x:v>0</x:v>
      </x:c>
      <x:c r="K30" s="24" t="n">
        <x:f>IF(10&gt;'Ayarlar'!$B$6,0,IF(MAX(0,'Ayarlar'!$B$6-IF('Ayarlar'!$B$7&lt;=0,99,ROUNDUP(MAX('Proje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girdileri'!AD30/'Ayarlar'!$B$7,0))/(52/12),0)),10-1&lt;'Proje girdileri'!AH30),POWER(1-'Proje girdileri'!AT30,10-1),0)+IF(AND(2&gt;IF('Ayarlar'!$B$7&lt;=0,99,ROUNDUP(MAX('Proje girdileri'!AC30,ROUNDUP('Proje girdileri'!AD30/'Ayarlar'!$B$7,0))/(52/12),0)),10-2&lt;'Proje girdileri'!AH30),POWER(1-'Proje girdileri'!AT30,10-2),0)+IF(AND(3&gt;IF('Ayarlar'!$B$7&lt;=0,99,ROUNDUP(MAX('Proje girdileri'!AC30,ROUNDUP('Proje girdileri'!AD30/'Ayarlar'!$B$7,0))/(52/12),0)),10-3&lt;'Proje girdileri'!AH30),POWER(1-'Proje girdileri'!AT30,10-3),0)+IF(AND(4&gt;IF('Ayarlar'!$B$7&lt;=0,99,ROUNDUP(MAX('Proje girdileri'!AC30,ROUNDUP('Proje girdileri'!AD30/'Ayarlar'!$B$7,0))/(52/12),0)),10-4&lt;'Proje girdileri'!AH30),POWER(1-'Proje girdileri'!AT30,10-4),0)+IF(AND(5&gt;IF('Ayarlar'!$B$7&lt;=0,99,ROUNDUP(MAX('Proje girdileri'!AC30,ROUNDUP('Proje girdileri'!AD30/'Ayarlar'!$B$7,0))/(52/12),0)),10-5&lt;'Proje girdileri'!AH30),POWER(1-'Proje girdileri'!AT30,10-5),0)+IF(AND(6&gt;IF('Ayarlar'!$B$7&lt;=0,99,ROUNDUP(MAX('Proje girdileri'!AC30,ROUNDUP('Proje girdileri'!AD30/'Ayarlar'!$B$7,0))/(52/12),0)),10-6&lt;'Proje girdileri'!AH30),POWER(1-'Proje girdileri'!AT30,10-6),0)+IF(AND(7&gt;IF('Ayarlar'!$B$7&lt;=0,99,ROUNDUP(MAX('Proje girdileri'!AC30,ROUNDUP('Proje girdileri'!AD30/'Ayarlar'!$B$7,0))/(52/12),0)),10-7&lt;'Proje girdileri'!AH30),POWER(1-'Proje girdileri'!AT30,10-7),0)+IF(AND(8&gt;IF('Ayarlar'!$B$7&lt;=0,99,ROUNDUP(MAX('Proje girdileri'!AC30,ROUNDUP('Proje girdileri'!AD30/'Ayarlar'!$B$7,0))/(52/12),0)),10-8&lt;'Proje girdileri'!AH30),POWER(1-'Proje girdileri'!AT30,10-8),0)+IF(AND(9&gt;IF('Ayarlar'!$B$7&lt;=0,99,ROUNDUP(MAX('Proje girdileri'!AC30,ROUNDUP('Proje girdileri'!AD30/'Ayarlar'!$B$7,0))/(52/12),0)),10-9&lt;'Proje girdileri'!AH30),POWER(1-'Proje girdileri'!AT30,10-9),0)+IF(AND(10&gt;IF('Ayarlar'!$B$7&lt;=0,99,ROUNDUP(MAX('Proje girdileri'!AC30,ROUNDUP('Proje girdileri'!AD30/'Ayarlar'!$B$7,0))/(52/12),0)),10-10&lt;'Proje girdileri'!AH30),POWER(1-'Proje girdileri'!AT30,10-10),0)),IF(10&gt;IF('Ayarlar'!$B$7&lt;=0,99,ROUNDUP(MAX('Proje girdileri'!AC30,ROUNDUP('Proje girdileri'!AD30/'Ayarlar'!$B$7,0))/(52/12),0)),1,0))*('Proje girdileri'!Y30*(1-'Proje girdileri'!AA30-'Proje girdileri'!AB30)-'Proje girdileri'!Z30))-'Proje girdileri'!AJ30)</x:f>
        <x:v>0</x:v>
      </x:c>
      <x:c r="L30" s="24" t="n">
        <x:f>IF(11&gt;'Ayarlar'!$B$6,0,IF(MAX(0,'Ayarlar'!$B$6-IF('Ayarlar'!$B$7&lt;=0,99,ROUNDUP(MAX('Proje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girdileri'!AD30/'Ayarlar'!$B$7,0))/(52/12),0)),11-1&lt;'Proje girdileri'!AH30),POWER(1-'Proje girdileri'!AT30,11-1),0)+IF(AND(2&gt;IF('Ayarlar'!$B$7&lt;=0,99,ROUNDUP(MAX('Proje girdileri'!AC30,ROUNDUP('Proje girdileri'!AD30/'Ayarlar'!$B$7,0))/(52/12),0)),11-2&lt;'Proje girdileri'!AH30),POWER(1-'Proje girdileri'!AT30,11-2),0)+IF(AND(3&gt;IF('Ayarlar'!$B$7&lt;=0,99,ROUNDUP(MAX('Proje girdileri'!AC30,ROUNDUP('Proje girdileri'!AD30/'Ayarlar'!$B$7,0))/(52/12),0)),11-3&lt;'Proje girdileri'!AH30),POWER(1-'Proje girdileri'!AT30,11-3),0)+IF(AND(4&gt;IF('Ayarlar'!$B$7&lt;=0,99,ROUNDUP(MAX('Proje girdileri'!AC30,ROUNDUP('Proje girdileri'!AD30/'Ayarlar'!$B$7,0))/(52/12),0)),11-4&lt;'Proje girdileri'!AH30),POWER(1-'Proje girdileri'!AT30,11-4),0)+IF(AND(5&gt;IF('Ayarlar'!$B$7&lt;=0,99,ROUNDUP(MAX('Proje girdileri'!AC30,ROUNDUP('Proje girdileri'!AD30/'Ayarlar'!$B$7,0))/(52/12),0)),11-5&lt;'Proje girdileri'!AH30),POWER(1-'Proje girdileri'!AT30,11-5),0)+IF(AND(6&gt;IF('Ayarlar'!$B$7&lt;=0,99,ROUNDUP(MAX('Proje girdileri'!AC30,ROUNDUP('Proje girdileri'!AD30/'Ayarlar'!$B$7,0))/(52/12),0)),11-6&lt;'Proje girdileri'!AH30),POWER(1-'Proje girdileri'!AT30,11-6),0)+IF(AND(7&gt;IF('Ayarlar'!$B$7&lt;=0,99,ROUNDUP(MAX('Proje girdileri'!AC30,ROUNDUP('Proje girdileri'!AD30/'Ayarlar'!$B$7,0))/(52/12),0)),11-7&lt;'Proje girdileri'!AH30),POWER(1-'Proje girdileri'!AT30,11-7),0)+IF(AND(8&gt;IF('Ayarlar'!$B$7&lt;=0,99,ROUNDUP(MAX('Proje girdileri'!AC30,ROUNDUP('Proje girdileri'!AD30/'Ayarlar'!$B$7,0))/(52/12),0)),11-8&lt;'Proje girdileri'!AH30),POWER(1-'Proje girdileri'!AT30,11-8),0)+IF(AND(9&gt;IF('Ayarlar'!$B$7&lt;=0,99,ROUNDUP(MAX('Proje girdileri'!AC30,ROUNDUP('Proje girdileri'!AD30/'Ayarlar'!$B$7,0))/(52/12),0)),11-9&lt;'Proje girdileri'!AH30),POWER(1-'Proje girdileri'!AT30,11-9),0)+IF(AND(10&gt;IF('Ayarlar'!$B$7&lt;=0,99,ROUNDUP(MAX('Proje girdileri'!AC30,ROUNDUP('Proje girdileri'!AD30/'Ayarlar'!$B$7,0))/(52/12),0)),11-10&lt;'Proje girdileri'!AH30),POWER(1-'Proje girdileri'!AT30,11-10),0)+IF(AND(11&gt;IF('Ayarlar'!$B$7&lt;=0,99,ROUNDUP(MAX('Proje girdileri'!AC30,ROUNDUP('Proje girdileri'!AD30/'Ayarlar'!$B$7,0))/(52/12),0)),11-11&lt;'Proje girdileri'!AH30),POWER(1-'Proje girdileri'!AT30,11-11),0)),IF(11&gt;IF('Ayarlar'!$B$7&lt;=0,99,ROUNDUP(MAX('Proje girdileri'!AC30,ROUNDUP('Proje girdileri'!AD30/'Ayarlar'!$B$7,0))/(52/12),0)),1,0))*('Proje girdileri'!Y30*(1-'Proje girdileri'!AA30-'Proje girdileri'!AB30)-'Proje girdileri'!Z30))-'Proje girdileri'!AJ30)</x:f>
        <x:v>0</x:v>
      </x:c>
      <x:c r="M30" s="24" t="n">
        <x:f>IF(12&gt;'Ayarlar'!$B$6,0,IF(MAX(0,'Ayarlar'!$B$6-IF('Ayarlar'!$B$7&lt;=0,99,ROUNDUP(MAX('Proje girdileri'!AC30,ROUNDUP('Proje girdileri'!AD30/'Ayarlar'!$B$7,0))/(52/12),0)))=0,0,'Hesap'!I30/MAX(0,'Ayarlar'!$B$6-IF('Ayarlar'!$B$7&lt;=0,99,ROUNDUP(MAX('Proje girdileri'!AC30,ROUNDUP('Proje girdileri'!AD30/'Ayarlar'!$B$7,0))/(52/12),0)))*IF('Proje girdileri'!C30="recurring",(IF(AND(1&gt;IF('Ayarlar'!$B$7&lt;=0,99,ROUNDUP(MAX('Proje girdileri'!AC30,ROUNDUP('Proje girdileri'!AD30/'Ayarlar'!$B$7,0))/(52/12),0)),12-1&lt;'Proje girdileri'!AH30),POWER(1-'Proje girdileri'!AT30,12-1),0)+IF(AND(2&gt;IF('Ayarlar'!$B$7&lt;=0,99,ROUNDUP(MAX('Proje girdileri'!AC30,ROUNDUP('Proje girdileri'!AD30/'Ayarlar'!$B$7,0))/(52/12),0)),12-2&lt;'Proje girdileri'!AH30),POWER(1-'Proje girdileri'!AT30,12-2),0)+IF(AND(3&gt;IF('Ayarlar'!$B$7&lt;=0,99,ROUNDUP(MAX('Proje girdileri'!AC30,ROUNDUP('Proje girdileri'!AD30/'Ayarlar'!$B$7,0))/(52/12),0)),12-3&lt;'Proje girdileri'!AH30),POWER(1-'Proje girdileri'!AT30,12-3),0)+IF(AND(4&gt;IF('Ayarlar'!$B$7&lt;=0,99,ROUNDUP(MAX('Proje girdileri'!AC30,ROUNDUP('Proje girdileri'!AD30/'Ayarlar'!$B$7,0))/(52/12),0)),12-4&lt;'Proje girdileri'!AH30),POWER(1-'Proje girdileri'!AT30,12-4),0)+IF(AND(5&gt;IF('Ayarlar'!$B$7&lt;=0,99,ROUNDUP(MAX('Proje girdileri'!AC30,ROUNDUP('Proje girdileri'!AD30/'Ayarlar'!$B$7,0))/(52/12),0)),12-5&lt;'Proje girdileri'!AH30),POWER(1-'Proje girdileri'!AT30,12-5),0)+IF(AND(6&gt;IF('Ayarlar'!$B$7&lt;=0,99,ROUNDUP(MAX('Proje girdileri'!AC30,ROUNDUP('Proje girdileri'!AD30/'Ayarlar'!$B$7,0))/(52/12),0)),12-6&lt;'Proje girdileri'!AH30),POWER(1-'Proje girdileri'!AT30,12-6),0)+IF(AND(7&gt;IF('Ayarlar'!$B$7&lt;=0,99,ROUNDUP(MAX('Proje girdileri'!AC30,ROUNDUP('Proje girdileri'!AD30/'Ayarlar'!$B$7,0))/(52/12),0)),12-7&lt;'Proje girdileri'!AH30),POWER(1-'Proje girdileri'!AT30,12-7),0)+IF(AND(8&gt;IF('Ayarlar'!$B$7&lt;=0,99,ROUNDUP(MAX('Proje girdileri'!AC30,ROUNDUP('Proje girdileri'!AD30/'Ayarlar'!$B$7,0))/(52/12),0)),12-8&lt;'Proje girdileri'!AH30),POWER(1-'Proje girdileri'!AT30,12-8),0)+IF(AND(9&gt;IF('Ayarlar'!$B$7&lt;=0,99,ROUNDUP(MAX('Proje girdileri'!AC30,ROUNDUP('Proje girdileri'!AD30/'Ayarlar'!$B$7,0))/(52/12),0)),12-9&lt;'Proje girdileri'!AH30),POWER(1-'Proje girdileri'!AT30,12-9),0)+IF(AND(10&gt;IF('Ayarlar'!$B$7&lt;=0,99,ROUNDUP(MAX('Proje girdileri'!AC30,ROUNDUP('Proje girdileri'!AD30/'Ayarlar'!$B$7,0))/(52/12),0)),12-10&lt;'Proje girdileri'!AH30),POWER(1-'Proje girdileri'!AT30,12-10),0)+IF(AND(11&gt;IF('Ayarlar'!$B$7&lt;=0,99,ROUNDUP(MAX('Proje girdileri'!AC30,ROUNDUP('Proje girdileri'!AD30/'Ayarlar'!$B$7,0))/(52/12),0)),12-11&lt;'Proje girdileri'!AH30),POWER(1-'Proje girdileri'!AT30,12-11),0)+IF(AND(12&gt;IF('Ayarlar'!$B$7&lt;=0,99,ROUNDUP(MAX('Proje girdileri'!AC30,ROUNDUP('Proje girdileri'!AD30/'Ayarlar'!$B$7,0))/(52/12),0)),12-12&lt;'Proje girdileri'!AH30),POWER(1-'Proje girdileri'!AT30,12-12),0)),IF(12&gt;IF('Ayarlar'!$B$7&lt;=0,99,ROUNDUP(MAX('Proje girdileri'!AC30,ROUNDUP('Proje girdileri'!AD30/'Ayarlar'!$B$7,0))/(52/12),0)),1,0))*('Proje girdileri'!Y30*(1-'Proje girdileri'!AA30-'Proje girdileri'!AB30)-'Proje girdileri'!Z30))-'Proje girdileri'!AJ30)</x:f>
        <x:v>0</x:v>
      </x:c>
      <x:c r="N30" s="24" t="n">
        <x:f>SUM(B30:M30)</x:f>
        <x:v>1325.6</x:v>
      </x:c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</x:row>
    <x:row r="31" ht="24" customHeight="1">
      <x:c r="A31" s="2" t="str">
        <x:f>'Hesap'!B31</x:f>
        <x:v>Çok dilli üretici site</x:v>
      </x:c>
      <x:c r="B31" s="24" t="n">
        <x:f>IF(1&gt;'Ayarlar'!$B$6,0,IF(MAX(0,'Ayarlar'!$B$6-IF('Ayarlar'!$B$7&lt;=0,99,ROUNDUP(MAX('Proje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girdileri'!AD31/'Ayarlar'!$B$7,0))/(52/12),0)),1-1&lt;'Proje girdileri'!AH31),POWER(1-'Proje girdileri'!AT31,1-1),0)),IF(1&gt;IF('Ayarlar'!$B$7&lt;=0,99,ROUNDUP(MAX('Proje girdileri'!AC31,ROUNDUP('Proje girdileri'!AD31/'Ayarlar'!$B$7,0))/(52/12),0)),1,0))*('Proje girdileri'!Y31*(1-'Proje girdileri'!AA31-'Proje girdileri'!AB31)-'Proje girdileri'!Z31))-'Proje girdileri'!AJ31-'Proje girdileri'!AI31)</x:f>
        <x:v>-165</x:v>
      </x:c>
      <x:c r="C31" s="24" t="n">
        <x:f>IF(2&gt;'Ayarlar'!$B$6,0,IF(MAX(0,'Ayarlar'!$B$6-IF('Ayarlar'!$B$7&lt;=0,99,ROUNDUP(MAX('Proje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girdileri'!AD31/'Ayarlar'!$B$7,0))/(52/12),0)),2-1&lt;'Proje girdileri'!AH31),POWER(1-'Proje girdileri'!AT31,2-1),0)+IF(AND(2&gt;IF('Ayarlar'!$B$7&lt;=0,99,ROUNDUP(MAX('Proje girdileri'!AC31,ROUNDUP('Proje girdileri'!AD31/'Ayarlar'!$B$7,0))/(52/12),0)),2-2&lt;'Proje girdileri'!AH31),POWER(1-'Proje girdileri'!AT31,2-2),0)),IF(2&gt;IF('Ayarlar'!$B$7&lt;=0,99,ROUNDUP(MAX('Proje girdileri'!AC31,ROUNDUP('Proje girdileri'!AD31/'Ayarlar'!$B$7,0))/(52/12),0)),1,0))*('Proje girdileri'!Y31*(1-'Proje girdileri'!AA31-'Proje girdileri'!AB31)-'Proje girdileri'!Z31))-'Proje girdileri'!AJ31)</x:f>
        <x:v>621.8000000000001</x:v>
      </x:c>
      <x:c r="D31" s="24" t="n">
        <x:f>IF(3&gt;'Ayarlar'!$B$6,0,IF(MAX(0,'Ayarlar'!$B$6-IF('Ayarlar'!$B$7&lt;=0,99,ROUNDUP(MAX('Proje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girdileri'!AD31/'Ayarlar'!$B$7,0))/(52/12),0)),3-1&lt;'Proje girdileri'!AH31),POWER(1-'Proje girdileri'!AT31,3-1),0)+IF(AND(2&gt;IF('Ayarlar'!$B$7&lt;=0,99,ROUNDUP(MAX('Proje girdileri'!AC31,ROUNDUP('Proje girdileri'!AD31/'Ayarlar'!$B$7,0))/(52/12),0)),3-2&lt;'Proje girdileri'!AH31),POWER(1-'Proje girdileri'!AT31,3-2),0)+IF(AND(3&gt;IF('Ayarlar'!$B$7&lt;=0,99,ROUNDUP(MAX('Proje girdileri'!AC31,ROUNDUP('Proje girdileri'!AD31/'Ayarlar'!$B$7,0))/(52/12),0)),3-3&lt;'Proje girdileri'!AH31),POWER(1-'Proje girdileri'!AT31,3-3),0)),IF(3&gt;IF('Ayarlar'!$B$7&lt;=0,99,ROUNDUP(MAX('Proje girdileri'!AC31,ROUNDUP('Proje girdileri'!AD31/'Ayarlar'!$B$7,0))/(52/12),0)),1,0))*('Proje girdileri'!Y31*(1-'Proje girdileri'!AA31-'Proje girdileri'!AB31)-'Proje girdileri'!Z31))-'Proje girdileri'!AJ31)</x:f>
        <x:v>621.8000000000001</x:v>
      </x:c>
      <x:c r="E31" s="24" t="n">
        <x:f>IF(4&gt;'Ayarlar'!$B$6,0,IF(MAX(0,'Ayarlar'!$B$6-IF('Ayarlar'!$B$7&lt;=0,99,ROUNDUP(MAX('Proje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girdileri'!AD31/'Ayarlar'!$B$7,0))/(52/12),0)),4-1&lt;'Proje girdileri'!AH31),POWER(1-'Proje girdileri'!AT31,4-1),0)+IF(AND(2&gt;IF('Ayarlar'!$B$7&lt;=0,99,ROUNDUP(MAX('Proje girdileri'!AC31,ROUNDUP('Proje girdileri'!AD31/'Ayarlar'!$B$7,0))/(52/12),0)),4-2&lt;'Proje girdileri'!AH31),POWER(1-'Proje girdileri'!AT31,4-2),0)+IF(AND(3&gt;IF('Ayarlar'!$B$7&lt;=0,99,ROUNDUP(MAX('Proje girdileri'!AC31,ROUNDUP('Proje girdileri'!AD31/'Ayarlar'!$B$7,0))/(52/12),0)),4-3&lt;'Proje girdileri'!AH31),POWER(1-'Proje girdileri'!AT31,4-3),0)+IF(AND(4&gt;IF('Ayarlar'!$B$7&lt;=0,99,ROUNDUP(MAX('Proje girdileri'!AC31,ROUNDUP('Proje girdileri'!AD31/'Ayarlar'!$B$7,0))/(52/12),0)),4-4&lt;'Proje girdileri'!AH31),POWER(1-'Proje girdileri'!AT31,4-4),0)),IF(4&gt;IF('Ayarlar'!$B$7&lt;=0,99,ROUNDUP(MAX('Proje girdileri'!AC31,ROUNDUP('Proje girdileri'!AD31/'Ayarlar'!$B$7,0))/(52/12),0)),1,0))*('Proje girdileri'!Y31*(1-'Proje girdileri'!AA31-'Proje girdileri'!AB31)-'Proje girdileri'!Z31))-'Proje girdileri'!AJ31)</x:f>
        <x:v>621.8000000000001</x:v>
      </x:c>
      <x:c r="F31" s="24" t="n">
        <x:f>IF(5&gt;'Ayarlar'!$B$6,0,IF(MAX(0,'Ayarlar'!$B$6-IF('Ayarlar'!$B$7&lt;=0,99,ROUNDUP(MAX('Proje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girdileri'!AD31/'Ayarlar'!$B$7,0))/(52/12),0)),5-1&lt;'Proje girdileri'!AH31),POWER(1-'Proje girdileri'!AT31,5-1),0)+IF(AND(2&gt;IF('Ayarlar'!$B$7&lt;=0,99,ROUNDUP(MAX('Proje girdileri'!AC31,ROUNDUP('Proje girdileri'!AD31/'Ayarlar'!$B$7,0))/(52/12),0)),5-2&lt;'Proje girdileri'!AH31),POWER(1-'Proje girdileri'!AT31,5-2),0)+IF(AND(3&gt;IF('Ayarlar'!$B$7&lt;=0,99,ROUNDUP(MAX('Proje girdileri'!AC31,ROUNDUP('Proje girdileri'!AD31/'Ayarlar'!$B$7,0))/(52/12),0)),5-3&lt;'Proje girdileri'!AH31),POWER(1-'Proje girdileri'!AT31,5-3),0)+IF(AND(4&gt;IF('Ayarlar'!$B$7&lt;=0,99,ROUNDUP(MAX('Proje girdileri'!AC31,ROUNDUP('Proje girdileri'!AD31/'Ayarlar'!$B$7,0))/(52/12),0)),5-4&lt;'Proje girdileri'!AH31),POWER(1-'Proje girdileri'!AT31,5-4),0)+IF(AND(5&gt;IF('Ayarlar'!$B$7&lt;=0,99,ROUNDUP(MAX('Proje girdileri'!AC31,ROUNDUP('Proje girdileri'!AD31/'Ayarlar'!$B$7,0))/(52/12),0)),5-5&lt;'Proje girdileri'!AH31),POWER(1-'Proje girdileri'!AT31,5-5),0)),IF(5&gt;IF('Ayarlar'!$B$7&lt;=0,99,ROUNDUP(MAX('Proje girdileri'!AC31,ROUNDUP('Proje girdileri'!AD31/'Ayarlar'!$B$7,0))/(52/12),0)),1,0))*('Proje girdileri'!Y31*(1-'Proje girdileri'!AA31-'Proje girdileri'!AB31)-'Proje girdileri'!Z31))-'Proje girdileri'!AJ31)</x:f>
        <x:v>621.8000000000001</x:v>
      </x:c>
      <x:c r="G31" s="24" t="n">
        <x:f>IF(6&gt;'Ayarlar'!$B$6,0,IF(MAX(0,'Ayarlar'!$B$6-IF('Ayarlar'!$B$7&lt;=0,99,ROUNDUP(MAX('Proje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girdileri'!AD31/'Ayarlar'!$B$7,0))/(52/12),0)),6-1&lt;'Proje girdileri'!AH31),POWER(1-'Proje girdileri'!AT31,6-1),0)+IF(AND(2&gt;IF('Ayarlar'!$B$7&lt;=0,99,ROUNDUP(MAX('Proje girdileri'!AC31,ROUNDUP('Proje girdileri'!AD31/'Ayarlar'!$B$7,0))/(52/12),0)),6-2&lt;'Proje girdileri'!AH31),POWER(1-'Proje girdileri'!AT31,6-2),0)+IF(AND(3&gt;IF('Ayarlar'!$B$7&lt;=0,99,ROUNDUP(MAX('Proje girdileri'!AC31,ROUNDUP('Proje girdileri'!AD31/'Ayarlar'!$B$7,0))/(52/12),0)),6-3&lt;'Proje girdileri'!AH31),POWER(1-'Proje girdileri'!AT31,6-3),0)+IF(AND(4&gt;IF('Ayarlar'!$B$7&lt;=0,99,ROUNDUP(MAX('Proje girdileri'!AC31,ROUNDUP('Proje girdileri'!AD31/'Ayarlar'!$B$7,0))/(52/12),0)),6-4&lt;'Proje girdileri'!AH31),POWER(1-'Proje girdileri'!AT31,6-4),0)+IF(AND(5&gt;IF('Ayarlar'!$B$7&lt;=0,99,ROUNDUP(MAX('Proje girdileri'!AC31,ROUNDUP('Proje girdileri'!AD31/'Ayarlar'!$B$7,0))/(52/12),0)),6-5&lt;'Proje girdileri'!AH31),POWER(1-'Proje girdileri'!AT31,6-5),0)+IF(AND(6&gt;IF('Ayarlar'!$B$7&lt;=0,99,ROUNDUP(MAX('Proje girdileri'!AC31,ROUNDUP('Proje girdileri'!AD31/'Ayarlar'!$B$7,0))/(52/12),0)),6-6&lt;'Proje girdileri'!AH31),POWER(1-'Proje girdileri'!AT31,6-6),0)),IF(6&gt;IF('Ayarlar'!$B$7&lt;=0,99,ROUNDUP(MAX('Proje girdileri'!AC31,ROUNDUP('Proje girdileri'!AD31/'Ayarlar'!$B$7,0))/(52/12),0)),1,0))*('Proje girdileri'!Y31*(1-'Proje girdileri'!AA31-'Proje girdileri'!AB31)-'Proje girdileri'!Z31))-'Proje girdileri'!AJ31)</x:f>
        <x:v>621.8000000000001</x:v>
      </x:c>
      <x:c r="H31" s="24" t="n">
        <x:f>IF(7&gt;'Ayarlar'!$B$6,0,IF(MAX(0,'Ayarlar'!$B$6-IF('Ayarlar'!$B$7&lt;=0,99,ROUNDUP(MAX('Proje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girdileri'!AD31/'Ayarlar'!$B$7,0))/(52/12),0)),7-1&lt;'Proje girdileri'!AH31),POWER(1-'Proje girdileri'!AT31,7-1),0)+IF(AND(2&gt;IF('Ayarlar'!$B$7&lt;=0,99,ROUNDUP(MAX('Proje girdileri'!AC31,ROUNDUP('Proje girdileri'!AD31/'Ayarlar'!$B$7,0))/(52/12),0)),7-2&lt;'Proje girdileri'!AH31),POWER(1-'Proje girdileri'!AT31,7-2),0)+IF(AND(3&gt;IF('Ayarlar'!$B$7&lt;=0,99,ROUNDUP(MAX('Proje girdileri'!AC31,ROUNDUP('Proje girdileri'!AD31/'Ayarlar'!$B$7,0))/(52/12),0)),7-3&lt;'Proje girdileri'!AH31),POWER(1-'Proje girdileri'!AT31,7-3),0)+IF(AND(4&gt;IF('Ayarlar'!$B$7&lt;=0,99,ROUNDUP(MAX('Proje girdileri'!AC31,ROUNDUP('Proje girdileri'!AD31/'Ayarlar'!$B$7,0))/(52/12),0)),7-4&lt;'Proje girdileri'!AH31),POWER(1-'Proje girdileri'!AT31,7-4),0)+IF(AND(5&gt;IF('Ayarlar'!$B$7&lt;=0,99,ROUNDUP(MAX('Proje girdileri'!AC31,ROUNDUP('Proje girdileri'!AD31/'Ayarlar'!$B$7,0))/(52/12),0)),7-5&lt;'Proje girdileri'!AH31),POWER(1-'Proje girdileri'!AT31,7-5),0)+IF(AND(6&gt;IF('Ayarlar'!$B$7&lt;=0,99,ROUNDUP(MAX('Proje girdileri'!AC31,ROUNDUP('Proje girdileri'!AD31/'Ayarlar'!$B$7,0))/(52/12),0)),7-6&lt;'Proje girdileri'!AH31),POWER(1-'Proje girdileri'!AT31,7-6),0)+IF(AND(7&gt;IF('Ayarlar'!$B$7&lt;=0,99,ROUNDUP(MAX('Proje girdileri'!AC31,ROUNDUP('Proje girdileri'!AD31/'Ayarlar'!$B$7,0))/(52/12),0)),7-7&lt;'Proje girdileri'!AH31),POWER(1-'Proje girdileri'!AT31,7-7),0)),IF(7&gt;IF('Ayarlar'!$B$7&lt;=0,99,ROUNDUP(MAX('Proje girdileri'!AC31,ROUNDUP('Proje girdileri'!AD31/'Ayarlar'!$B$7,0))/(52/12),0)),1,0))*('Proje girdileri'!Y31*(1-'Proje girdileri'!AA31-'Proje girdileri'!AB31)-'Proje girdileri'!Z31))-'Proje girdileri'!AJ31)</x:f>
        <x:v>0</x:v>
      </x:c>
      <x:c r="I31" s="24" t="n">
        <x:f>IF(8&gt;'Ayarlar'!$B$6,0,IF(MAX(0,'Ayarlar'!$B$6-IF('Ayarlar'!$B$7&lt;=0,99,ROUNDUP(MAX('Proje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girdileri'!AD31/'Ayarlar'!$B$7,0))/(52/12),0)),8-1&lt;'Proje girdileri'!AH31),POWER(1-'Proje girdileri'!AT31,8-1),0)+IF(AND(2&gt;IF('Ayarlar'!$B$7&lt;=0,99,ROUNDUP(MAX('Proje girdileri'!AC31,ROUNDUP('Proje girdileri'!AD31/'Ayarlar'!$B$7,0))/(52/12),0)),8-2&lt;'Proje girdileri'!AH31),POWER(1-'Proje girdileri'!AT31,8-2),0)+IF(AND(3&gt;IF('Ayarlar'!$B$7&lt;=0,99,ROUNDUP(MAX('Proje girdileri'!AC31,ROUNDUP('Proje girdileri'!AD31/'Ayarlar'!$B$7,0))/(52/12),0)),8-3&lt;'Proje girdileri'!AH31),POWER(1-'Proje girdileri'!AT31,8-3),0)+IF(AND(4&gt;IF('Ayarlar'!$B$7&lt;=0,99,ROUNDUP(MAX('Proje girdileri'!AC31,ROUNDUP('Proje girdileri'!AD31/'Ayarlar'!$B$7,0))/(52/12),0)),8-4&lt;'Proje girdileri'!AH31),POWER(1-'Proje girdileri'!AT31,8-4),0)+IF(AND(5&gt;IF('Ayarlar'!$B$7&lt;=0,99,ROUNDUP(MAX('Proje girdileri'!AC31,ROUNDUP('Proje girdileri'!AD31/'Ayarlar'!$B$7,0))/(52/12),0)),8-5&lt;'Proje girdileri'!AH31),POWER(1-'Proje girdileri'!AT31,8-5),0)+IF(AND(6&gt;IF('Ayarlar'!$B$7&lt;=0,99,ROUNDUP(MAX('Proje girdileri'!AC31,ROUNDUP('Proje girdileri'!AD31/'Ayarlar'!$B$7,0))/(52/12),0)),8-6&lt;'Proje girdileri'!AH31),POWER(1-'Proje girdileri'!AT31,8-6),0)+IF(AND(7&gt;IF('Ayarlar'!$B$7&lt;=0,99,ROUNDUP(MAX('Proje girdileri'!AC31,ROUNDUP('Proje girdileri'!AD31/'Ayarlar'!$B$7,0))/(52/12),0)),8-7&lt;'Proje girdileri'!AH31),POWER(1-'Proje girdileri'!AT31,8-7),0)+IF(AND(8&gt;IF('Ayarlar'!$B$7&lt;=0,99,ROUNDUP(MAX('Proje girdileri'!AC31,ROUNDUP('Proje girdileri'!AD31/'Ayarlar'!$B$7,0))/(52/12),0)),8-8&lt;'Proje girdileri'!AH31),POWER(1-'Proje girdileri'!AT31,8-8),0)),IF(8&gt;IF('Ayarlar'!$B$7&lt;=0,99,ROUNDUP(MAX('Proje girdileri'!AC31,ROUNDUP('Proje girdileri'!AD31/'Ayarlar'!$B$7,0))/(52/12),0)),1,0))*('Proje girdileri'!Y31*(1-'Proje girdileri'!AA31-'Proje girdileri'!AB31)-'Proje girdileri'!Z31))-'Proje girdileri'!AJ31)</x:f>
        <x:v>0</x:v>
      </x:c>
      <x:c r="J31" s="24" t="n">
        <x:f>IF(9&gt;'Ayarlar'!$B$6,0,IF(MAX(0,'Ayarlar'!$B$6-IF('Ayarlar'!$B$7&lt;=0,99,ROUNDUP(MAX('Proje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girdileri'!AD31/'Ayarlar'!$B$7,0))/(52/12),0)),9-1&lt;'Proje girdileri'!AH31),POWER(1-'Proje girdileri'!AT31,9-1),0)+IF(AND(2&gt;IF('Ayarlar'!$B$7&lt;=0,99,ROUNDUP(MAX('Proje girdileri'!AC31,ROUNDUP('Proje girdileri'!AD31/'Ayarlar'!$B$7,0))/(52/12),0)),9-2&lt;'Proje girdileri'!AH31),POWER(1-'Proje girdileri'!AT31,9-2),0)+IF(AND(3&gt;IF('Ayarlar'!$B$7&lt;=0,99,ROUNDUP(MAX('Proje girdileri'!AC31,ROUNDUP('Proje girdileri'!AD31/'Ayarlar'!$B$7,0))/(52/12),0)),9-3&lt;'Proje girdileri'!AH31),POWER(1-'Proje girdileri'!AT31,9-3),0)+IF(AND(4&gt;IF('Ayarlar'!$B$7&lt;=0,99,ROUNDUP(MAX('Proje girdileri'!AC31,ROUNDUP('Proje girdileri'!AD31/'Ayarlar'!$B$7,0))/(52/12),0)),9-4&lt;'Proje girdileri'!AH31),POWER(1-'Proje girdileri'!AT31,9-4),0)+IF(AND(5&gt;IF('Ayarlar'!$B$7&lt;=0,99,ROUNDUP(MAX('Proje girdileri'!AC31,ROUNDUP('Proje girdileri'!AD31/'Ayarlar'!$B$7,0))/(52/12),0)),9-5&lt;'Proje girdileri'!AH31),POWER(1-'Proje girdileri'!AT31,9-5),0)+IF(AND(6&gt;IF('Ayarlar'!$B$7&lt;=0,99,ROUNDUP(MAX('Proje girdileri'!AC31,ROUNDUP('Proje girdileri'!AD31/'Ayarlar'!$B$7,0))/(52/12),0)),9-6&lt;'Proje girdileri'!AH31),POWER(1-'Proje girdileri'!AT31,9-6),0)+IF(AND(7&gt;IF('Ayarlar'!$B$7&lt;=0,99,ROUNDUP(MAX('Proje girdileri'!AC31,ROUNDUP('Proje girdileri'!AD31/'Ayarlar'!$B$7,0))/(52/12),0)),9-7&lt;'Proje girdileri'!AH31),POWER(1-'Proje girdileri'!AT31,9-7),0)+IF(AND(8&gt;IF('Ayarlar'!$B$7&lt;=0,99,ROUNDUP(MAX('Proje girdileri'!AC31,ROUNDUP('Proje girdileri'!AD31/'Ayarlar'!$B$7,0))/(52/12),0)),9-8&lt;'Proje girdileri'!AH31),POWER(1-'Proje girdileri'!AT31,9-8),0)+IF(AND(9&gt;IF('Ayarlar'!$B$7&lt;=0,99,ROUNDUP(MAX('Proje girdileri'!AC31,ROUNDUP('Proje girdileri'!AD31/'Ayarlar'!$B$7,0))/(52/12),0)),9-9&lt;'Proje girdileri'!AH31),POWER(1-'Proje girdileri'!AT31,9-9),0)),IF(9&gt;IF('Ayarlar'!$B$7&lt;=0,99,ROUNDUP(MAX('Proje girdileri'!AC31,ROUNDUP('Proje girdileri'!AD31/'Ayarlar'!$B$7,0))/(52/12),0)),1,0))*('Proje girdileri'!Y31*(1-'Proje girdileri'!AA31-'Proje girdileri'!AB31)-'Proje girdileri'!Z31))-'Proje girdileri'!AJ31)</x:f>
        <x:v>0</x:v>
      </x:c>
      <x:c r="K31" s="24" t="n">
        <x:f>IF(10&gt;'Ayarlar'!$B$6,0,IF(MAX(0,'Ayarlar'!$B$6-IF('Ayarlar'!$B$7&lt;=0,99,ROUNDUP(MAX('Proje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girdileri'!AD31/'Ayarlar'!$B$7,0))/(52/12),0)),10-1&lt;'Proje girdileri'!AH31),POWER(1-'Proje girdileri'!AT31,10-1),0)+IF(AND(2&gt;IF('Ayarlar'!$B$7&lt;=0,99,ROUNDUP(MAX('Proje girdileri'!AC31,ROUNDUP('Proje girdileri'!AD31/'Ayarlar'!$B$7,0))/(52/12),0)),10-2&lt;'Proje girdileri'!AH31),POWER(1-'Proje girdileri'!AT31,10-2),0)+IF(AND(3&gt;IF('Ayarlar'!$B$7&lt;=0,99,ROUNDUP(MAX('Proje girdileri'!AC31,ROUNDUP('Proje girdileri'!AD31/'Ayarlar'!$B$7,0))/(52/12),0)),10-3&lt;'Proje girdileri'!AH31),POWER(1-'Proje girdileri'!AT31,10-3),0)+IF(AND(4&gt;IF('Ayarlar'!$B$7&lt;=0,99,ROUNDUP(MAX('Proje girdileri'!AC31,ROUNDUP('Proje girdileri'!AD31/'Ayarlar'!$B$7,0))/(52/12),0)),10-4&lt;'Proje girdileri'!AH31),POWER(1-'Proje girdileri'!AT31,10-4),0)+IF(AND(5&gt;IF('Ayarlar'!$B$7&lt;=0,99,ROUNDUP(MAX('Proje girdileri'!AC31,ROUNDUP('Proje girdileri'!AD31/'Ayarlar'!$B$7,0))/(52/12),0)),10-5&lt;'Proje girdileri'!AH31),POWER(1-'Proje girdileri'!AT31,10-5),0)+IF(AND(6&gt;IF('Ayarlar'!$B$7&lt;=0,99,ROUNDUP(MAX('Proje girdileri'!AC31,ROUNDUP('Proje girdileri'!AD31/'Ayarlar'!$B$7,0))/(52/12),0)),10-6&lt;'Proje girdileri'!AH31),POWER(1-'Proje girdileri'!AT31,10-6),0)+IF(AND(7&gt;IF('Ayarlar'!$B$7&lt;=0,99,ROUNDUP(MAX('Proje girdileri'!AC31,ROUNDUP('Proje girdileri'!AD31/'Ayarlar'!$B$7,0))/(52/12),0)),10-7&lt;'Proje girdileri'!AH31),POWER(1-'Proje girdileri'!AT31,10-7),0)+IF(AND(8&gt;IF('Ayarlar'!$B$7&lt;=0,99,ROUNDUP(MAX('Proje girdileri'!AC31,ROUNDUP('Proje girdileri'!AD31/'Ayarlar'!$B$7,0))/(52/12),0)),10-8&lt;'Proje girdileri'!AH31),POWER(1-'Proje girdileri'!AT31,10-8),0)+IF(AND(9&gt;IF('Ayarlar'!$B$7&lt;=0,99,ROUNDUP(MAX('Proje girdileri'!AC31,ROUNDUP('Proje girdileri'!AD31/'Ayarlar'!$B$7,0))/(52/12),0)),10-9&lt;'Proje girdileri'!AH31),POWER(1-'Proje girdileri'!AT31,10-9),0)+IF(AND(10&gt;IF('Ayarlar'!$B$7&lt;=0,99,ROUNDUP(MAX('Proje girdileri'!AC31,ROUNDUP('Proje girdileri'!AD31/'Ayarlar'!$B$7,0))/(52/12),0)),10-10&lt;'Proje girdileri'!AH31),POWER(1-'Proje girdileri'!AT31,10-10),0)),IF(10&gt;IF('Ayarlar'!$B$7&lt;=0,99,ROUNDUP(MAX('Proje girdileri'!AC31,ROUNDUP('Proje girdileri'!AD31/'Ayarlar'!$B$7,0))/(52/12),0)),1,0))*('Proje girdileri'!Y31*(1-'Proje girdileri'!AA31-'Proje girdileri'!AB31)-'Proje girdileri'!Z31))-'Proje girdileri'!AJ31)</x:f>
        <x:v>0</x:v>
      </x:c>
      <x:c r="L31" s="24" t="n">
        <x:f>IF(11&gt;'Ayarlar'!$B$6,0,IF(MAX(0,'Ayarlar'!$B$6-IF('Ayarlar'!$B$7&lt;=0,99,ROUNDUP(MAX('Proje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girdileri'!AD31/'Ayarlar'!$B$7,0))/(52/12),0)),11-1&lt;'Proje girdileri'!AH31),POWER(1-'Proje girdileri'!AT31,11-1),0)+IF(AND(2&gt;IF('Ayarlar'!$B$7&lt;=0,99,ROUNDUP(MAX('Proje girdileri'!AC31,ROUNDUP('Proje girdileri'!AD31/'Ayarlar'!$B$7,0))/(52/12),0)),11-2&lt;'Proje girdileri'!AH31),POWER(1-'Proje girdileri'!AT31,11-2),0)+IF(AND(3&gt;IF('Ayarlar'!$B$7&lt;=0,99,ROUNDUP(MAX('Proje girdileri'!AC31,ROUNDUP('Proje girdileri'!AD31/'Ayarlar'!$B$7,0))/(52/12),0)),11-3&lt;'Proje girdileri'!AH31),POWER(1-'Proje girdileri'!AT31,11-3),0)+IF(AND(4&gt;IF('Ayarlar'!$B$7&lt;=0,99,ROUNDUP(MAX('Proje girdileri'!AC31,ROUNDUP('Proje girdileri'!AD31/'Ayarlar'!$B$7,0))/(52/12),0)),11-4&lt;'Proje girdileri'!AH31),POWER(1-'Proje girdileri'!AT31,11-4),0)+IF(AND(5&gt;IF('Ayarlar'!$B$7&lt;=0,99,ROUNDUP(MAX('Proje girdileri'!AC31,ROUNDUP('Proje girdileri'!AD31/'Ayarlar'!$B$7,0))/(52/12),0)),11-5&lt;'Proje girdileri'!AH31),POWER(1-'Proje girdileri'!AT31,11-5),0)+IF(AND(6&gt;IF('Ayarlar'!$B$7&lt;=0,99,ROUNDUP(MAX('Proje girdileri'!AC31,ROUNDUP('Proje girdileri'!AD31/'Ayarlar'!$B$7,0))/(52/12),0)),11-6&lt;'Proje girdileri'!AH31),POWER(1-'Proje girdileri'!AT31,11-6),0)+IF(AND(7&gt;IF('Ayarlar'!$B$7&lt;=0,99,ROUNDUP(MAX('Proje girdileri'!AC31,ROUNDUP('Proje girdileri'!AD31/'Ayarlar'!$B$7,0))/(52/12),0)),11-7&lt;'Proje girdileri'!AH31),POWER(1-'Proje girdileri'!AT31,11-7),0)+IF(AND(8&gt;IF('Ayarlar'!$B$7&lt;=0,99,ROUNDUP(MAX('Proje girdileri'!AC31,ROUNDUP('Proje girdileri'!AD31/'Ayarlar'!$B$7,0))/(52/12),0)),11-8&lt;'Proje girdileri'!AH31),POWER(1-'Proje girdileri'!AT31,11-8),0)+IF(AND(9&gt;IF('Ayarlar'!$B$7&lt;=0,99,ROUNDUP(MAX('Proje girdileri'!AC31,ROUNDUP('Proje girdileri'!AD31/'Ayarlar'!$B$7,0))/(52/12),0)),11-9&lt;'Proje girdileri'!AH31),POWER(1-'Proje girdileri'!AT31,11-9),0)+IF(AND(10&gt;IF('Ayarlar'!$B$7&lt;=0,99,ROUNDUP(MAX('Proje girdileri'!AC31,ROUNDUP('Proje girdileri'!AD31/'Ayarlar'!$B$7,0))/(52/12),0)),11-10&lt;'Proje girdileri'!AH31),POWER(1-'Proje girdileri'!AT31,11-10),0)+IF(AND(11&gt;IF('Ayarlar'!$B$7&lt;=0,99,ROUNDUP(MAX('Proje girdileri'!AC31,ROUNDUP('Proje girdileri'!AD31/'Ayarlar'!$B$7,0))/(52/12),0)),11-11&lt;'Proje girdileri'!AH31),POWER(1-'Proje girdileri'!AT31,11-11),0)),IF(11&gt;IF('Ayarlar'!$B$7&lt;=0,99,ROUNDUP(MAX('Proje girdileri'!AC31,ROUNDUP('Proje girdileri'!AD31/'Ayarlar'!$B$7,0))/(52/12),0)),1,0))*('Proje girdileri'!Y31*(1-'Proje girdileri'!AA31-'Proje girdileri'!AB31)-'Proje girdileri'!Z31))-'Proje girdileri'!AJ31)</x:f>
        <x:v>0</x:v>
      </x:c>
      <x:c r="M31" s="24" t="n">
        <x:f>IF(12&gt;'Ayarlar'!$B$6,0,IF(MAX(0,'Ayarlar'!$B$6-IF('Ayarlar'!$B$7&lt;=0,99,ROUNDUP(MAX('Proje girdileri'!AC31,ROUNDUP('Proje girdileri'!AD31/'Ayarlar'!$B$7,0))/(52/12),0)))=0,0,'Hesap'!I31/MAX(0,'Ayarlar'!$B$6-IF('Ayarlar'!$B$7&lt;=0,99,ROUNDUP(MAX('Proje girdileri'!AC31,ROUNDUP('Proje girdileri'!AD31/'Ayarlar'!$B$7,0))/(52/12),0)))*IF('Proje girdileri'!C31="recurring",(IF(AND(1&gt;IF('Ayarlar'!$B$7&lt;=0,99,ROUNDUP(MAX('Proje girdileri'!AC31,ROUNDUP('Proje girdileri'!AD31/'Ayarlar'!$B$7,0))/(52/12),0)),12-1&lt;'Proje girdileri'!AH31),POWER(1-'Proje girdileri'!AT31,12-1),0)+IF(AND(2&gt;IF('Ayarlar'!$B$7&lt;=0,99,ROUNDUP(MAX('Proje girdileri'!AC31,ROUNDUP('Proje girdileri'!AD31/'Ayarlar'!$B$7,0))/(52/12),0)),12-2&lt;'Proje girdileri'!AH31),POWER(1-'Proje girdileri'!AT31,12-2),0)+IF(AND(3&gt;IF('Ayarlar'!$B$7&lt;=0,99,ROUNDUP(MAX('Proje girdileri'!AC31,ROUNDUP('Proje girdileri'!AD31/'Ayarlar'!$B$7,0))/(52/12),0)),12-3&lt;'Proje girdileri'!AH31),POWER(1-'Proje girdileri'!AT31,12-3),0)+IF(AND(4&gt;IF('Ayarlar'!$B$7&lt;=0,99,ROUNDUP(MAX('Proje girdileri'!AC31,ROUNDUP('Proje girdileri'!AD31/'Ayarlar'!$B$7,0))/(52/12),0)),12-4&lt;'Proje girdileri'!AH31),POWER(1-'Proje girdileri'!AT31,12-4),0)+IF(AND(5&gt;IF('Ayarlar'!$B$7&lt;=0,99,ROUNDUP(MAX('Proje girdileri'!AC31,ROUNDUP('Proje girdileri'!AD31/'Ayarlar'!$B$7,0))/(52/12),0)),12-5&lt;'Proje girdileri'!AH31),POWER(1-'Proje girdileri'!AT31,12-5),0)+IF(AND(6&gt;IF('Ayarlar'!$B$7&lt;=0,99,ROUNDUP(MAX('Proje girdileri'!AC31,ROUNDUP('Proje girdileri'!AD31/'Ayarlar'!$B$7,0))/(52/12),0)),12-6&lt;'Proje girdileri'!AH31),POWER(1-'Proje girdileri'!AT31,12-6),0)+IF(AND(7&gt;IF('Ayarlar'!$B$7&lt;=0,99,ROUNDUP(MAX('Proje girdileri'!AC31,ROUNDUP('Proje girdileri'!AD31/'Ayarlar'!$B$7,0))/(52/12),0)),12-7&lt;'Proje girdileri'!AH31),POWER(1-'Proje girdileri'!AT31,12-7),0)+IF(AND(8&gt;IF('Ayarlar'!$B$7&lt;=0,99,ROUNDUP(MAX('Proje girdileri'!AC31,ROUNDUP('Proje girdileri'!AD31/'Ayarlar'!$B$7,0))/(52/12),0)),12-8&lt;'Proje girdileri'!AH31),POWER(1-'Proje girdileri'!AT31,12-8),0)+IF(AND(9&gt;IF('Ayarlar'!$B$7&lt;=0,99,ROUNDUP(MAX('Proje girdileri'!AC31,ROUNDUP('Proje girdileri'!AD31/'Ayarlar'!$B$7,0))/(52/12),0)),12-9&lt;'Proje girdileri'!AH31),POWER(1-'Proje girdileri'!AT31,12-9),0)+IF(AND(10&gt;IF('Ayarlar'!$B$7&lt;=0,99,ROUNDUP(MAX('Proje girdileri'!AC31,ROUNDUP('Proje girdileri'!AD31/'Ayarlar'!$B$7,0))/(52/12),0)),12-10&lt;'Proje girdileri'!AH31),POWER(1-'Proje girdileri'!AT31,12-10),0)+IF(AND(11&gt;IF('Ayarlar'!$B$7&lt;=0,99,ROUNDUP(MAX('Proje girdileri'!AC31,ROUNDUP('Proje girdileri'!AD31/'Ayarlar'!$B$7,0))/(52/12),0)),12-11&lt;'Proje girdileri'!AH31),POWER(1-'Proje girdileri'!AT31,12-11),0)+IF(AND(12&gt;IF('Ayarlar'!$B$7&lt;=0,99,ROUNDUP(MAX('Proje girdileri'!AC31,ROUNDUP('Proje girdileri'!AD31/'Ayarlar'!$B$7,0))/(52/12),0)),12-12&lt;'Proje girdileri'!AH31),POWER(1-'Proje girdileri'!AT31,12-12),0)),IF(12&gt;IF('Ayarlar'!$B$7&lt;=0,99,ROUNDUP(MAX('Proje girdileri'!AC31,ROUNDUP('Proje girdileri'!AD31/'Ayarlar'!$B$7,0))/(52/12),0)),1,0))*('Proje girdileri'!Y31*(1-'Proje girdileri'!AA31-'Proje girdileri'!AB31)-'Proje girdileri'!Z31))-'Proje girdileri'!AJ31)</x:f>
        <x:v>0</x:v>
      </x:c>
      <x:c r="N31" s="24" t="n">
        <x:f>SUM(B31:M31)</x:f>
        <x:v>2944.0000000000005</x:v>
      </x:c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</x:row>
    <x:row r="32" ht="24" customHeight="1">
      <x:c r="A32" s="2" t="str">
        <x:f>'Hesap'!B32</x:f>
        <x:v>LifeOS dar çıktı</x:v>
      </x:c>
      <x:c r="B32" s="24" t="n">
        <x:f>IF(1&gt;'Ayarlar'!$B$6,0,IF(MAX(0,'Ayarlar'!$B$6-IF('Ayarlar'!$B$7&lt;=0,99,ROUNDUP(MAX('Proje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girdileri'!AD32/'Ayarlar'!$B$7,0))/(52/12),0)),1-1&lt;'Proje girdileri'!AH32),POWER(1-'Proje girdileri'!AT32,1-1),0)),IF(1&gt;IF('Ayarlar'!$B$7&lt;=0,99,ROUNDUP(MAX('Proje girdileri'!AC32,ROUNDUP('Proje girdileri'!AD32/'Ayarlar'!$B$7,0))/(52/12),0)),1,0))*('Proje girdileri'!Y32*(1-'Proje girdileri'!AA32-'Proje girdileri'!AB32)-'Proje girdileri'!Z32))-'Proje girdileri'!AJ32-'Proje girdileri'!AI32)</x:f>
        <x:v>-83</x:v>
      </x:c>
      <x:c r="C32" s="24" t="n">
        <x:f>IF(2&gt;'Ayarlar'!$B$6,0,IF(MAX(0,'Ayarlar'!$B$6-IF('Ayarlar'!$B$7&lt;=0,99,ROUNDUP(MAX('Proje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girdileri'!AD32/'Ayarlar'!$B$7,0))/(52/12),0)),2-1&lt;'Proje girdileri'!AH32),POWER(1-'Proje girdileri'!AT32,2-1),0)+IF(AND(2&gt;IF('Ayarlar'!$B$7&lt;=0,99,ROUNDUP(MAX('Proje girdileri'!AC32,ROUNDUP('Proje girdileri'!AD32/'Ayarlar'!$B$7,0))/(52/12),0)),2-2&lt;'Proje girdileri'!AH32),POWER(1-'Proje girdileri'!AT32,2-2),0)),IF(2&gt;IF('Ayarlar'!$B$7&lt;=0,99,ROUNDUP(MAX('Proje girdileri'!AC32,ROUNDUP('Proje girdileri'!AD32/'Ayarlar'!$B$7,0))/(52/12),0)),1,0))*('Proje girdileri'!Y32*(1-'Proje girdileri'!AA32-'Proje girdileri'!AB32)-'Proje girdileri'!Z32))-'Proje girdileri'!AJ32)</x:f>
        <x:v>26.499999999999993</x:v>
      </x:c>
      <x:c r="D32" s="24" t="n">
        <x:f>IF(3&gt;'Ayarlar'!$B$6,0,IF(MAX(0,'Ayarlar'!$B$6-IF('Ayarlar'!$B$7&lt;=0,99,ROUNDUP(MAX('Proje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girdileri'!AD32/'Ayarlar'!$B$7,0))/(52/12),0)),3-1&lt;'Proje girdileri'!AH32),POWER(1-'Proje girdileri'!AT32,3-1),0)+IF(AND(2&gt;IF('Ayarlar'!$B$7&lt;=0,99,ROUNDUP(MAX('Proje girdileri'!AC32,ROUNDUP('Proje girdileri'!AD32/'Ayarlar'!$B$7,0))/(52/12),0)),3-2&lt;'Proje girdileri'!AH32),POWER(1-'Proje girdileri'!AT32,3-2),0)+IF(AND(3&gt;IF('Ayarlar'!$B$7&lt;=0,99,ROUNDUP(MAX('Proje girdileri'!AC32,ROUNDUP('Proje girdileri'!AD32/'Ayarlar'!$B$7,0))/(52/12),0)),3-3&lt;'Proje girdileri'!AH32),POWER(1-'Proje girdileri'!AT32,3-3),0)),IF(3&gt;IF('Ayarlar'!$B$7&lt;=0,99,ROUNDUP(MAX('Proje girdileri'!AC32,ROUNDUP('Proje girdileri'!AD32/'Ayarlar'!$B$7,0))/(52/12),0)),1,0))*('Proje girdileri'!Y32*(1-'Proje girdileri'!AA32-'Proje girdileri'!AB32)-'Proje girdileri'!Z32))-'Proje girdileri'!AJ32)</x:f>
        <x:v>26.499999999999993</x:v>
      </x:c>
      <x:c r="E32" s="24" t="n">
        <x:f>IF(4&gt;'Ayarlar'!$B$6,0,IF(MAX(0,'Ayarlar'!$B$6-IF('Ayarlar'!$B$7&lt;=0,99,ROUNDUP(MAX('Proje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girdileri'!AD32/'Ayarlar'!$B$7,0))/(52/12),0)),4-1&lt;'Proje girdileri'!AH32),POWER(1-'Proje girdileri'!AT32,4-1),0)+IF(AND(2&gt;IF('Ayarlar'!$B$7&lt;=0,99,ROUNDUP(MAX('Proje girdileri'!AC32,ROUNDUP('Proje girdileri'!AD32/'Ayarlar'!$B$7,0))/(52/12),0)),4-2&lt;'Proje girdileri'!AH32),POWER(1-'Proje girdileri'!AT32,4-2),0)+IF(AND(3&gt;IF('Ayarlar'!$B$7&lt;=0,99,ROUNDUP(MAX('Proje girdileri'!AC32,ROUNDUP('Proje girdileri'!AD32/'Ayarlar'!$B$7,0))/(52/12),0)),4-3&lt;'Proje girdileri'!AH32),POWER(1-'Proje girdileri'!AT32,4-3),0)+IF(AND(4&gt;IF('Ayarlar'!$B$7&lt;=0,99,ROUNDUP(MAX('Proje girdileri'!AC32,ROUNDUP('Proje girdileri'!AD32/'Ayarlar'!$B$7,0))/(52/12),0)),4-4&lt;'Proje girdileri'!AH32),POWER(1-'Proje girdileri'!AT32,4-4),0)),IF(4&gt;IF('Ayarlar'!$B$7&lt;=0,99,ROUNDUP(MAX('Proje girdileri'!AC32,ROUNDUP('Proje girdileri'!AD32/'Ayarlar'!$B$7,0))/(52/12),0)),1,0))*('Proje girdileri'!Y32*(1-'Proje girdileri'!AA32-'Proje girdileri'!AB32)-'Proje girdileri'!Z32))-'Proje girdileri'!AJ32)</x:f>
        <x:v>26.499999999999993</x:v>
      </x:c>
      <x:c r="F32" s="24" t="n">
        <x:f>IF(5&gt;'Ayarlar'!$B$6,0,IF(MAX(0,'Ayarlar'!$B$6-IF('Ayarlar'!$B$7&lt;=0,99,ROUNDUP(MAX('Proje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girdileri'!AD32/'Ayarlar'!$B$7,0))/(52/12),0)),5-1&lt;'Proje girdileri'!AH32),POWER(1-'Proje girdileri'!AT32,5-1),0)+IF(AND(2&gt;IF('Ayarlar'!$B$7&lt;=0,99,ROUNDUP(MAX('Proje girdileri'!AC32,ROUNDUP('Proje girdileri'!AD32/'Ayarlar'!$B$7,0))/(52/12),0)),5-2&lt;'Proje girdileri'!AH32),POWER(1-'Proje girdileri'!AT32,5-2),0)+IF(AND(3&gt;IF('Ayarlar'!$B$7&lt;=0,99,ROUNDUP(MAX('Proje girdileri'!AC32,ROUNDUP('Proje girdileri'!AD32/'Ayarlar'!$B$7,0))/(52/12),0)),5-3&lt;'Proje girdileri'!AH32),POWER(1-'Proje girdileri'!AT32,5-3),0)+IF(AND(4&gt;IF('Ayarlar'!$B$7&lt;=0,99,ROUNDUP(MAX('Proje girdileri'!AC32,ROUNDUP('Proje girdileri'!AD32/'Ayarlar'!$B$7,0))/(52/12),0)),5-4&lt;'Proje girdileri'!AH32),POWER(1-'Proje girdileri'!AT32,5-4),0)+IF(AND(5&gt;IF('Ayarlar'!$B$7&lt;=0,99,ROUNDUP(MAX('Proje girdileri'!AC32,ROUNDUP('Proje girdileri'!AD32/'Ayarlar'!$B$7,0))/(52/12),0)),5-5&lt;'Proje girdileri'!AH32),POWER(1-'Proje girdileri'!AT32,5-5),0)),IF(5&gt;IF('Ayarlar'!$B$7&lt;=0,99,ROUNDUP(MAX('Proje girdileri'!AC32,ROUNDUP('Proje girdileri'!AD32/'Ayarlar'!$B$7,0))/(52/12),0)),1,0))*('Proje girdileri'!Y32*(1-'Proje girdileri'!AA32-'Proje girdileri'!AB32)-'Proje girdileri'!Z32))-'Proje girdileri'!AJ32)</x:f>
        <x:v>26.499999999999993</x:v>
      </x:c>
      <x:c r="G32" s="24" t="n">
        <x:f>IF(6&gt;'Ayarlar'!$B$6,0,IF(MAX(0,'Ayarlar'!$B$6-IF('Ayarlar'!$B$7&lt;=0,99,ROUNDUP(MAX('Proje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girdileri'!AD32/'Ayarlar'!$B$7,0))/(52/12),0)),6-1&lt;'Proje girdileri'!AH32),POWER(1-'Proje girdileri'!AT32,6-1),0)+IF(AND(2&gt;IF('Ayarlar'!$B$7&lt;=0,99,ROUNDUP(MAX('Proje girdileri'!AC32,ROUNDUP('Proje girdileri'!AD32/'Ayarlar'!$B$7,0))/(52/12),0)),6-2&lt;'Proje girdileri'!AH32),POWER(1-'Proje girdileri'!AT32,6-2),0)+IF(AND(3&gt;IF('Ayarlar'!$B$7&lt;=0,99,ROUNDUP(MAX('Proje girdileri'!AC32,ROUNDUP('Proje girdileri'!AD32/'Ayarlar'!$B$7,0))/(52/12),0)),6-3&lt;'Proje girdileri'!AH32),POWER(1-'Proje girdileri'!AT32,6-3),0)+IF(AND(4&gt;IF('Ayarlar'!$B$7&lt;=0,99,ROUNDUP(MAX('Proje girdileri'!AC32,ROUNDUP('Proje girdileri'!AD32/'Ayarlar'!$B$7,0))/(52/12),0)),6-4&lt;'Proje girdileri'!AH32),POWER(1-'Proje girdileri'!AT32,6-4),0)+IF(AND(5&gt;IF('Ayarlar'!$B$7&lt;=0,99,ROUNDUP(MAX('Proje girdileri'!AC32,ROUNDUP('Proje girdileri'!AD32/'Ayarlar'!$B$7,0))/(52/12),0)),6-5&lt;'Proje girdileri'!AH32),POWER(1-'Proje girdileri'!AT32,6-5),0)+IF(AND(6&gt;IF('Ayarlar'!$B$7&lt;=0,99,ROUNDUP(MAX('Proje girdileri'!AC32,ROUNDUP('Proje girdileri'!AD32/'Ayarlar'!$B$7,0))/(52/12),0)),6-6&lt;'Proje girdileri'!AH32),POWER(1-'Proje girdileri'!AT32,6-6),0)),IF(6&gt;IF('Ayarlar'!$B$7&lt;=0,99,ROUNDUP(MAX('Proje girdileri'!AC32,ROUNDUP('Proje girdileri'!AD32/'Ayarlar'!$B$7,0))/(52/12),0)),1,0))*('Proje girdileri'!Y32*(1-'Proje girdileri'!AA32-'Proje girdileri'!AB32)-'Proje girdileri'!Z32))-'Proje girdileri'!AJ32)</x:f>
        <x:v>26.499999999999993</x:v>
      </x:c>
      <x:c r="H32" s="24" t="n">
        <x:f>IF(7&gt;'Ayarlar'!$B$6,0,IF(MAX(0,'Ayarlar'!$B$6-IF('Ayarlar'!$B$7&lt;=0,99,ROUNDUP(MAX('Proje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girdileri'!AD32/'Ayarlar'!$B$7,0))/(52/12),0)),7-1&lt;'Proje girdileri'!AH32),POWER(1-'Proje girdileri'!AT32,7-1),0)+IF(AND(2&gt;IF('Ayarlar'!$B$7&lt;=0,99,ROUNDUP(MAX('Proje girdileri'!AC32,ROUNDUP('Proje girdileri'!AD32/'Ayarlar'!$B$7,0))/(52/12),0)),7-2&lt;'Proje girdileri'!AH32),POWER(1-'Proje girdileri'!AT32,7-2),0)+IF(AND(3&gt;IF('Ayarlar'!$B$7&lt;=0,99,ROUNDUP(MAX('Proje girdileri'!AC32,ROUNDUP('Proje girdileri'!AD32/'Ayarlar'!$B$7,0))/(52/12),0)),7-3&lt;'Proje girdileri'!AH32),POWER(1-'Proje girdileri'!AT32,7-3),0)+IF(AND(4&gt;IF('Ayarlar'!$B$7&lt;=0,99,ROUNDUP(MAX('Proje girdileri'!AC32,ROUNDUP('Proje girdileri'!AD32/'Ayarlar'!$B$7,0))/(52/12),0)),7-4&lt;'Proje girdileri'!AH32),POWER(1-'Proje girdileri'!AT32,7-4),0)+IF(AND(5&gt;IF('Ayarlar'!$B$7&lt;=0,99,ROUNDUP(MAX('Proje girdileri'!AC32,ROUNDUP('Proje girdileri'!AD32/'Ayarlar'!$B$7,0))/(52/12),0)),7-5&lt;'Proje girdileri'!AH32),POWER(1-'Proje girdileri'!AT32,7-5),0)+IF(AND(6&gt;IF('Ayarlar'!$B$7&lt;=0,99,ROUNDUP(MAX('Proje girdileri'!AC32,ROUNDUP('Proje girdileri'!AD32/'Ayarlar'!$B$7,0))/(52/12),0)),7-6&lt;'Proje girdileri'!AH32),POWER(1-'Proje girdileri'!AT32,7-6),0)+IF(AND(7&gt;IF('Ayarlar'!$B$7&lt;=0,99,ROUNDUP(MAX('Proje girdileri'!AC32,ROUNDUP('Proje girdileri'!AD32/'Ayarlar'!$B$7,0))/(52/12),0)),7-7&lt;'Proje girdileri'!AH32),POWER(1-'Proje girdileri'!AT32,7-7),0)),IF(7&gt;IF('Ayarlar'!$B$7&lt;=0,99,ROUNDUP(MAX('Proje girdileri'!AC32,ROUNDUP('Proje girdileri'!AD32/'Ayarlar'!$B$7,0))/(52/12),0)),1,0))*('Proje girdileri'!Y32*(1-'Proje girdileri'!AA32-'Proje girdileri'!AB32)-'Proje girdileri'!Z32))-'Proje girdileri'!AJ32)</x:f>
        <x:v>0</x:v>
      </x:c>
      <x:c r="I32" s="24" t="n">
        <x:f>IF(8&gt;'Ayarlar'!$B$6,0,IF(MAX(0,'Ayarlar'!$B$6-IF('Ayarlar'!$B$7&lt;=0,99,ROUNDUP(MAX('Proje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girdileri'!AD32/'Ayarlar'!$B$7,0))/(52/12),0)),8-1&lt;'Proje girdileri'!AH32),POWER(1-'Proje girdileri'!AT32,8-1),0)+IF(AND(2&gt;IF('Ayarlar'!$B$7&lt;=0,99,ROUNDUP(MAX('Proje girdileri'!AC32,ROUNDUP('Proje girdileri'!AD32/'Ayarlar'!$B$7,0))/(52/12),0)),8-2&lt;'Proje girdileri'!AH32),POWER(1-'Proje girdileri'!AT32,8-2),0)+IF(AND(3&gt;IF('Ayarlar'!$B$7&lt;=0,99,ROUNDUP(MAX('Proje girdileri'!AC32,ROUNDUP('Proje girdileri'!AD32/'Ayarlar'!$B$7,0))/(52/12),0)),8-3&lt;'Proje girdileri'!AH32),POWER(1-'Proje girdileri'!AT32,8-3),0)+IF(AND(4&gt;IF('Ayarlar'!$B$7&lt;=0,99,ROUNDUP(MAX('Proje girdileri'!AC32,ROUNDUP('Proje girdileri'!AD32/'Ayarlar'!$B$7,0))/(52/12),0)),8-4&lt;'Proje girdileri'!AH32),POWER(1-'Proje girdileri'!AT32,8-4),0)+IF(AND(5&gt;IF('Ayarlar'!$B$7&lt;=0,99,ROUNDUP(MAX('Proje girdileri'!AC32,ROUNDUP('Proje girdileri'!AD32/'Ayarlar'!$B$7,0))/(52/12),0)),8-5&lt;'Proje girdileri'!AH32),POWER(1-'Proje girdileri'!AT32,8-5),0)+IF(AND(6&gt;IF('Ayarlar'!$B$7&lt;=0,99,ROUNDUP(MAX('Proje girdileri'!AC32,ROUNDUP('Proje girdileri'!AD32/'Ayarlar'!$B$7,0))/(52/12),0)),8-6&lt;'Proje girdileri'!AH32),POWER(1-'Proje girdileri'!AT32,8-6),0)+IF(AND(7&gt;IF('Ayarlar'!$B$7&lt;=0,99,ROUNDUP(MAX('Proje girdileri'!AC32,ROUNDUP('Proje girdileri'!AD32/'Ayarlar'!$B$7,0))/(52/12),0)),8-7&lt;'Proje girdileri'!AH32),POWER(1-'Proje girdileri'!AT32,8-7),0)+IF(AND(8&gt;IF('Ayarlar'!$B$7&lt;=0,99,ROUNDUP(MAX('Proje girdileri'!AC32,ROUNDUP('Proje girdileri'!AD32/'Ayarlar'!$B$7,0))/(52/12),0)),8-8&lt;'Proje girdileri'!AH32),POWER(1-'Proje girdileri'!AT32,8-8),0)),IF(8&gt;IF('Ayarlar'!$B$7&lt;=0,99,ROUNDUP(MAX('Proje girdileri'!AC32,ROUNDUP('Proje girdileri'!AD32/'Ayarlar'!$B$7,0))/(52/12),0)),1,0))*('Proje girdileri'!Y32*(1-'Proje girdileri'!AA32-'Proje girdileri'!AB32)-'Proje girdileri'!Z32))-'Proje girdileri'!AJ32)</x:f>
        <x:v>0</x:v>
      </x:c>
      <x:c r="J32" s="24" t="n">
        <x:f>IF(9&gt;'Ayarlar'!$B$6,0,IF(MAX(0,'Ayarlar'!$B$6-IF('Ayarlar'!$B$7&lt;=0,99,ROUNDUP(MAX('Proje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girdileri'!AD32/'Ayarlar'!$B$7,0))/(52/12),0)),9-1&lt;'Proje girdileri'!AH32),POWER(1-'Proje girdileri'!AT32,9-1),0)+IF(AND(2&gt;IF('Ayarlar'!$B$7&lt;=0,99,ROUNDUP(MAX('Proje girdileri'!AC32,ROUNDUP('Proje girdileri'!AD32/'Ayarlar'!$B$7,0))/(52/12),0)),9-2&lt;'Proje girdileri'!AH32),POWER(1-'Proje girdileri'!AT32,9-2),0)+IF(AND(3&gt;IF('Ayarlar'!$B$7&lt;=0,99,ROUNDUP(MAX('Proje girdileri'!AC32,ROUNDUP('Proje girdileri'!AD32/'Ayarlar'!$B$7,0))/(52/12),0)),9-3&lt;'Proje girdileri'!AH32),POWER(1-'Proje girdileri'!AT32,9-3),0)+IF(AND(4&gt;IF('Ayarlar'!$B$7&lt;=0,99,ROUNDUP(MAX('Proje girdileri'!AC32,ROUNDUP('Proje girdileri'!AD32/'Ayarlar'!$B$7,0))/(52/12),0)),9-4&lt;'Proje girdileri'!AH32),POWER(1-'Proje girdileri'!AT32,9-4),0)+IF(AND(5&gt;IF('Ayarlar'!$B$7&lt;=0,99,ROUNDUP(MAX('Proje girdileri'!AC32,ROUNDUP('Proje girdileri'!AD32/'Ayarlar'!$B$7,0))/(52/12),0)),9-5&lt;'Proje girdileri'!AH32),POWER(1-'Proje girdileri'!AT32,9-5),0)+IF(AND(6&gt;IF('Ayarlar'!$B$7&lt;=0,99,ROUNDUP(MAX('Proje girdileri'!AC32,ROUNDUP('Proje girdileri'!AD32/'Ayarlar'!$B$7,0))/(52/12),0)),9-6&lt;'Proje girdileri'!AH32),POWER(1-'Proje girdileri'!AT32,9-6),0)+IF(AND(7&gt;IF('Ayarlar'!$B$7&lt;=0,99,ROUNDUP(MAX('Proje girdileri'!AC32,ROUNDUP('Proje girdileri'!AD32/'Ayarlar'!$B$7,0))/(52/12),0)),9-7&lt;'Proje girdileri'!AH32),POWER(1-'Proje girdileri'!AT32,9-7),0)+IF(AND(8&gt;IF('Ayarlar'!$B$7&lt;=0,99,ROUNDUP(MAX('Proje girdileri'!AC32,ROUNDUP('Proje girdileri'!AD32/'Ayarlar'!$B$7,0))/(52/12),0)),9-8&lt;'Proje girdileri'!AH32),POWER(1-'Proje girdileri'!AT32,9-8),0)+IF(AND(9&gt;IF('Ayarlar'!$B$7&lt;=0,99,ROUNDUP(MAX('Proje girdileri'!AC32,ROUNDUP('Proje girdileri'!AD32/'Ayarlar'!$B$7,0))/(52/12),0)),9-9&lt;'Proje girdileri'!AH32),POWER(1-'Proje girdileri'!AT32,9-9),0)),IF(9&gt;IF('Ayarlar'!$B$7&lt;=0,99,ROUNDUP(MAX('Proje girdileri'!AC32,ROUNDUP('Proje girdileri'!AD32/'Ayarlar'!$B$7,0))/(52/12),0)),1,0))*('Proje girdileri'!Y32*(1-'Proje girdileri'!AA32-'Proje girdileri'!AB32)-'Proje girdileri'!Z32))-'Proje girdileri'!AJ32)</x:f>
        <x:v>0</x:v>
      </x:c>
      <x:c r="K32" s="24" t="n">
        <x:f>IF(10&gt;'Ayarlar'!$B$6,0,IF(MAX(0,'Ayarlar'!$B$6-IF('Ayarlar'!$B$7&lt;=0,99,ROUNDUP(MAX('Proje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girdileri'!AD32/'Ayarlar'!$B$7,0))/(52/12),0)),10-1&lt;'Proje girdileri'!AH32),POWER(1-'Proje girdileri'!AT32,10-1),0)+IF(AND(2&gt;IF('Ayarlar'!$B$7&lt;=0,99,ROUNDUP(MAX('Proje girdileri'!AC32,ROUNDUP('Proje girdileri'!AD32/'Ayarlar'!$B$7,0))/(52/12),0)),10-2&lt;'Proje girdileri'!AH32),POWER(1-'Proje girdileri'!AT32,10-2),0)+IF(AND(3&gt;IF('Ayarlar'!$B$7&lt;=0,99,ROUNDUP(MAX('Proje girdileri'!AC32,ROUNDUP('Proje girdileri'!AD32/'Ayarlar'!$B$7,0))/(52/12),0)),10-3&lt;'Proje girdileri'!AH32),POWER(1-'Proje girdileri'!AT32,10-3),0)+IF(AND(4&gt;IF('Ayarlar'!$B$7&lt;=0,99,ROUNDUP(MAX('Proje girdileri'!AC32,ROUNDUP('Proje girdileri'!AD32/'Ayarlar'!$B$7,0))/(52/12),0)),10-4&lt;'Proje girdileri'!AH32),POWER(1-'Proje girdileri'!AT32,10-4),0)+IF(AND(5&gt;IF('Ayarlar'!$B$7&lt;=0,99,ROUNDUP(MAX('Proje girdileri'!AC32,ROUNDUP('Proje girdileri'!AD32/'Ayarlar'!$B$7,0))/(52/12),0)),10-5&lt;'Proje girdileri'!AH32),POWER(1-'Proje girdileri'!AT32,10-5),0)+IF(AND(6&gt;IF('Ayarlar'!$B$7&lt;=0,99,ROUNDUP(MAX('Proje girdileri'!AC32,ROUNDUP('Proje girdileri'!AD32/'Ayarlar'!$B$7,0))/(52/12),0)),10-6&lt;'Proje girdileri'!AH32),POWER(1-'Proje girdileri'!AT32,10-6),0)+IF(AND(7&gt;IF('Ayarlar'!$B$7&lt;=0,99,ROUNDUP(MAX('Proje girdileri'!AC32,ROUNDUP('Proje girdileri'!AD32/'Ayarlar'!$B$7,0))/(52/12),0)),10-7&lt;'Proje girdileri'!AH32),POWER(1-'Proje girdileri'!AT32,10-7),0)+IF(AND(8&gt;IF('Ayarlar'!$B$7&lt;=0,99,ROUNDUP(MAX('Proje girdileri'!AC32,ROUNDUP('Proje girdileri'!AD32/'Ayarlar'!$B$7,0))/(52/12),0)),10-8&lt;'Proje girdileri'!AH32),POWER(1-'Proje girdileri'!AT32,10-8),0)+IF(AND(9&gt;IF('Ayarlar'!$B$7&lt;=0,99,ROUNDUP(MAX('Proje girdileri'!AC32,ROUNDUP('Proje girdileri'!AD32/'Ayarlar'!$B$7,0))/(52/12),0)),10-9&lt;'Proje girdileri'!AH32),POWER(1-'Proje girdileri'!AT32,10-9),0)+IF(AND(10&gt;IF('Ayarlar'!$B$7&lt;=0,99,ROUNDUP(MAX('Proje girdileri'!AC32,ROUNDUP('Proje girdileri'!AD32/'Ayarlar'!$B$7,0))/(52/12),0)),10-10&lt;'Proje girdileri'!AH32),POWER(1-'Proje girdileri'!AT32,10-10),0)),IF(10&gt;IF('Ayarlar'!$B$7&lt;=0,99,ROUNDUP(MAX('Proje girdileri'!AC32,ROUNDUP('Proje girdileri'!AD32/'Ayarlar'!$B$7,0))/(52/12),0)),1,0))*('Proje girdileri'!Y32*(1-'Proje girdileri'!AA32-'Proje girdileri'!AB32)-'Proje girdileri'!Z32))-'Proje girdileri'!AJ32)</x:f>
        <x:v>0</x:v>
      </x:c>
      <x:c r="L32" s="24" t="n">
        <x:f>IF(11&gt;'Ayarlar'!$B$6,0,IF(MAX(0,'Ayarlar'!$B$6-IF('Ayarlar'!$B$7&lt;=0,99,ROUNDUP(MAX('Proje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girdileri'!AD32/'Ayarlar'!$B$7,0))/(52/12),0)),11-1&lt;'Proje girdileri'!AH32),POWER(1-'Proje girdileri'!AT32,11-1),0)+IF(AND(2&gt;IF('Ayarlar'!$B$7&lt;=0,99,ROUNDUP(MAX('Proje girdileri'!AC32,ROUNDUP('Proje girdileri'!AD32/'Ayarlar'!$B$7,0))/(52/12),0)),11-2&lt;'Proje girdileri'!AH32),POWER(1-'Proje girdileri'!AT32,11-2),0)+IF(AND(3&gt;IF('Ayarlar'!$B$7&lt;=0,99,ROUNDUP(MAX('Proje girdileri'!AC32,ROUNDUP('Proje girdileri'!AD32/'Ayarlar'!$B$7,0))/(52/12),0)),11-3&lt;'Proje girdileri'!AH32),POWER(1-'Proje girdileri'!AT32,11-3),0)+IF(AND(4&gt;IF('Ayarlar'!$B$7&lt;=0,99,ROUNDUP(MAX('Proje girdileri'!AC32,ROUNDUP('Proje girdileri'!AD32/'Ayarlar'!$B$7,0))/(52/12),0)),11-4&lt;'Proje girdileri'!AH32),POWER(1-'Proje girdileri'!AT32,11-4),0)+IF(AND(5&gt;IF('Ayarlar'!$B$7&lt;=0,99,ROUNDUP(MAX('Proje girdileri'!AC32,ROUNDUP('Proje girdileri'!AD32/'Ayarlar'!$B$7,0))/(52/12),0)),11-5&lt;'Proje girdileri'!AH32),POWER(1-'Proje girdileri'!AT32,11-5),0)+IF(AND(6&gt;IF('Ayarlar'!$B$7&lt;=0,99,ROUNDUP(MAX('Proje girdileri'!AC32,ROUNDUP('Proje girdileri'!AD32/'Ayarlar'!$B$7,0))/(52/12),0)),11-6&lt;'Proje girdileri'!AH32),POWER(1-'Proje girdileri'!AT32,11-6),0)+IF(AND(7&gt;IF('Ayarlar'!$B$7&lt;=0,99,ROUNDUP(MAX('Proje girdileri'!AC32,ROUNDUP('Proje girdileri'!AD32/'Ayarlar'!$B$7,0))/(52/12),0)),11-7&lt;'Proje girdileri'!AH32),POWER(1-'Proje girdileri'!AT32,11-7),0)+IF(AND(8&gt;IF('Ayarlar'!$B$7&lt;=0,99,ROUNDUP(MAX('Proje girdileri'!AC32,ROUNDUP('Proje girdileri'!AD32/'Ayarlar'!$B$7,0))/(52/12),0)),11-8&lt;'Proje girdileri'!AH32),POWER(1-'Proje girdileri'!AT32,11-8),0)+IF(AND(9&gt;IF('Ayarlar'!$B$7&lt;=0,99,ROUNDUP(MAX('Proje girdileri'!AC32,ROUNDUP('Proje girdileri'!AD32/'Ayarlar'!$B$7,0))/(52/12),0)),11-9&lt;'Proje girdileri'!AH32),POWER(1-'Proje girdileri'!AT32,11-9),0)+IF(AND(10&gt;IF('Ayarlar'!$B$7&lt;=0,99,ROUNDUP(MAX('Proje girdileri'!AC32,ROUNDUP('Proje girdileri'!AD32/'Ayarlar'!$B$7,0))/(52/12),0)),11-10&lt;'Proje girdileri'!AH32),POWER(1-'Proje girdileri'!AT32,11-10),0)+IF(AND(11&gt;IF('Ayarlar'!$B$7&lt;=0,99,ROUNDUP(MAX('Proje girdileri'!AC32,ROUNDUP('Proje girdileri'!AD32/'Ayarlar'!$B$7,0))/(52/12),0)),11-11&lt;'Proje girdileri'!AH32),POWER(1-'Proje girdileri'!AT32,11-11),0)),IF(11&gt;IF('Ayarlar'!$B$7&lt;=0,99,ROUNDUP(MAX('Proje girdileri'!AC32,ROUNDUP('Proje girdileri'!AD32/'Ayarlar'!$B$7,0))/(52/12),0)),1,0))*('Proje girdileri'!Y32*(1-'Proje girdileri'!AA32-'Proje girdileri'!AB32)-'Proje girdileri'!Z32))-'Proje girdileri'!AJ32)</x:f>
        <x:v>0</x:v>
      </x:c>
      <x:c r="M32" s="24" t="n">
        <x:f>IF(12&gt;'Ayarlar'!$B$6,0,IF(MAX(0,'Ayarlar'!$B$6-IF('Ayarlar'!$B$7&lt;=0,99,ROUNDUP(MAX('Proje girdileri'!AC32,ROUNDUP('Proje girdileri'!AD32/'Ayarlar'!$B$7,0))/(52/12),0)))=0,0,'Hesap'!I32/MAX(0,'Ayarlar'!$B$6-IF('Ayarlar'!$B$7&lt;=0,99,ROUNDUP(MAX('Proje girdileri'!AC32,ROUNDUP('Proje girdileri'!AD32/'Ayarlar'!$B$7,0))/(52/12),0)))*IF('Proje girdileri'!C32="recurring",(IF(AND(1&gt;IF('Ayarlar'!$B$7&lt;=0,99,ROUNDUP(MAX('Proje girdileri'!AC32,ROUNDUP('Proje girdileri'!AD32/'Ayarlar'!$B$7,0))/(52/12),0)),12-1&lt;'Proje girdileri'!AH32),POWER(1-'Proje girdileri'!AT32,12-1),0)+IF(AND(2&gt;IF('Ayarlar'!$B$7&lt;=0,99,ROUNDUP(MAX('Proje girdileri'!AC32,ROUNDUP('Proje girdileri'!AD32/'Ayarlar'!$B$7,0))/(52/12),0)),12-2&lt;'Proje girdileri'!AH32),POWER(1-'Proje girdileri'!AT32,12-2),0)+IF(AND(3&gt;IF('Ayarlar'!$B$7&lt;=0,99,ROUNDUP(MAX('Proje girdileri'!AC32,ROUNDUP('Proje girdileri'!AD32/'Ayarlar'!$B$7,0))/(52/12),0)),12-3&lt;'Proje girdileri'!AH32),POWER(1-'Proje girdileri'!AT32,12-3),0)+IF(AND(4&gt;IF('Ayarlar'!$B$7&lt;=0,99,ROUNDUP(MAX('Proje girdileri'!AC32,ROUNDUP('Proje girdileri'!AD32/'Ayarlar'!$B$7,0))/(52/12),0)),12-4&lt;'Proje girdileri'!AH32),POWER(1-'Proje girdileri'!AT32,12-4),0)+IF(AND(5&gt;IF('Ayarlar'!$B$7&lt;=0,99,ROUNDUP(MAX('Proje girdileri'!AC32,ROUNDUP('Proje girdileri'!AD32/'Ayarlar'!$B$7,0))/(52/12),0)),12-5&lt;'Proje girdileri'!AH32),POWER(1-'Proje girdileri'!AT32,12-5),0)+IF(AND(6&gt;IF('Ayarlar'!$B$7&lt;=0,99,ROUNDUP(MAX('Proje girdileri'!AC32,ROUNDUP('Proje girdileri'!AD32/'Ayarlar'!$B$7,0))/(52/12),0)),12-6&lt;'Proje girdileri'!AH32),POWER(1-'Proje girdileri'!AT32,12-6),0)+IF(AND(7&gt;IF('Ayarlar'!$B$7&lt;=0,99,ROUNDUP(MAX('Proje girdileri'!AC32,ROUNDUP('Proje girdileri'!AD32/'Ayarlar'!$B$7,0))/(52/12),0)),12-7&lt;'Proje girdileri'!AH32),POWER(1-'Proje girdileri'!AT32,12-7),0)+IF(AND(8&gt;IF('Ayarlar'!$B$7&lt;=0,99,ROUNDUP(MAX('Proje girdileri'!AC32,ROUNDUP('Proje girdileri'!AD32/'Ayarlar'!$B$7,0))/(52/12),0)),12-8&lt;'Proje girdileri'!AH32),POWER(1-'Proje girdileri'!AT32,12-8),0)+IF(AND(9&gt;IF('Ayarlar'!$B$7&lt;=0,99,ROUNDUP(MAX('Proje girdileri'!AC32,ROUNDUP('Proje girdileri'!AD32/'Ayarlar'!$B$7,0))/(52/12),0)),12-9&lt;'Proje girdileri'!AH32),POWER(1-'Proje girdileri'!AT32,12-9),0)+IF(AND(10&gt;IF('Ayarlar'!$B$7&lt;=0,99,ROUNDUP(MAX('Proje girdileri'!AC32,ROUNDUP('Proje girdileri'!AD32/'Ayarlar'!$B$7,0))/(52/12),0)),12-10&lt;'Proje girdileri'!AH32),POWER(1-'Proje girdileri'!AT32,12-10),0)+IF(AND(11&gt;IF('Ayarlar'!$B$7&lt;=0,99,ROUNDUP(MAX('Proje girdileri'!AC32,ROUNDUP('Proje girdileri'!AD32/'Ayarlar'!$B$7,0))/(52/12),0)),12-11&lt;'Proje girdileri'!AH32),POWER(1-'Proje girdileri'!AT32,12-11),0)+IF(AND(12&gt;IF('Ayarlar'!$B$7&lt;=0,99,ROUNDUP(MAX('Proje girdileri'!AC32,ROUNDUP('Proje girdileri'!AD32/'Ayarlar'!$B$7,0))/(52/12),0)),12-12&lt;'Proje girdileri'!AH32),POWER(1-'Proje girdileri'!AT32,12-12),0)),IF(12&gt;IF('Ayarlar'!$B$7&lt;=0,99,ROUNDUP(MAX('Proje girdileri'!AC32,ROUNDUP('Proje girdileri'!AD32/'Ayarlar'!$B$7,0))/(52/12),0)),1,0))*('Proje girdileri'!Y32*(1-'Proje girdileri'!AA32-'Proje girdileri'!AB32)-'Proje girdileri'!Z32))-'Proje girdileri'!AJ32)</x:f>
        <x:v>0</x:v>
      </x:c>
      <x:c r="N32" s="24" t="n">
        <x:f>SUM(B32:M32)</x:f>
        <x:v>49.499999999999964</x:v>
      </x:c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</x:row>
    <x:row r="33" ht="24" customHeight="1">
      <x:c r="A33" s="2" t="str">
        <x:f>'Hesap'!B33</x:f>
        <x:v>Luquit entegrasyon</x:v>
      </x:c>
      <x:c r="B33" s="24" t="n">
        <x:f>IF(1&gt;'Ayarlar'!$B$6,0,IF(MAX(0,'Ayarlar'!$B$6-IF('Ayarlar'!$B$7&lt;=0,99,ROUNDUP(MAX('Proje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girdileri'!AD33/'Ayarlar'!$B$7,0))/(52/12),0)),1-1&lt;'Proje girdileri'!AH33),POWER(1-'Proje girdileri'!AT33,1-1),0)),IF(1&gt;IF('Ayarlar'!$B$7&lt;=0,99,ROUNDUP(MAX('Proje girdileri'!AC33,ROUNDUP('Proje girdileri'!AD33/'Ayarlar'!$B$7,0))/(52/12),0)),1,0))*('Proje girdileri'!Y33*(1-'Proje girdileri'!AA33-'Proje girdileri'!AB33)-'Proje girdileri'!Z33))-'Proje girdileri'!AJ33-'Proje girdileri'!AI33)</x:f>
        <x:v>-83</x:v>
      </x:c>
      <x:c r="C33" s="24" t="n">
        <x:f>IF(2&gt;'Ayarlar'!$B$6,0,IF(MAX(0,'Ayarlar'!$B$6-IF('Ayarlar'!$B$7&lt;=0,99,ROUNDUP(MAX('Proje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girdileri'!AD33/'Ayarlar'!$B$7,0))/(52/12),0)),2-1&lt;'Proje girdileri'!AH33),POWER(1-'Proje girdileri'!AT33,2-1),0)+IF(AND(2&gt;IF('Ayarlar'!$B$7&lt;=0,99,ROUNDUP(MAX('Proje girdileri'!AC33,ROUNDUP('Proje girdileri'!AD33/'Ayarlar'!$B$7,0))/(52/12),0)),2-2&lt;'Proje girdileri'!AH33),POWER(1-'Proje girdileri'!AT33,2-2),0)),IF(2&gt;IF('Ayarlar'!$B$7&lt;=0,99,ROUNDUP(MAX('Proje girdileri'!AC33,ROUNDUP('Proje girdileri'!AD33/'Ayarlar'!$B$7,0))/(52/12),0)),1,0))*('Proje girdileri'!Y33*(1-'Proje girdileri'!AA33-'Proje girdileri'!AB33)-'Proje girdileri'!Z33))-'Proje girdileri'!AJ33)</x:f>
        <x:v>-8</x:v>
      </x:c>
      <x:c r="D33" s="24" t="n">
        <x:f>IF(3&gt;'Ayarlar'!$B$6,0,IF(MAX(0,'Ayarlar'!$B$6-IF('Ayarlar'!$B$7&lt;=0,99,ROUNDUP(MAX('Proje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girdileri'!AD33/'Ayarlar'!$B$7,0))/(52/12),0)),3-1&lt;'Proje girdileri'!AH33),POWER(1-'Proje girdileri'!AT33,3-1),0)+IF(AND(2&gt;IF('Ayarlar'!$B$7&lt;=0,99,ROUNDUP(MAX('Proje girdileri'!AC33,ROUNDUP('Proje girdileri'!AD33/'Ayarlar'!$B$7,0))/(52/12),0)),3-2&lt;'Proje girdileri'!AH33),POWER(1-'Proje girdileri'!AT33,3-2),0)+IF(AND(3&gt;IF('Ayarlar'!$B$7&lt;=0,99,ROUNDUP(MAX('Proje girdileri'!AC33,ROUNDUP('Proje girdileri'!AD33/'Ayarlar'!$B$7,0))/(52/12),0)),3-3&lt;'Proje girdileri'!AH33),POWER(1-'Proje girdileri'!AT33,3-3),0)),IF(3&gt;IF('Ayarlar'!$B$7&lt;=0,99,ROUNDUP(MAX('Proje girdileri'!AC33,ROUNDUP('Proje girdileri'!AD33/'Ayarlar'!$B$7,0))/(52/12),0)),1,0))*('Proje girdileri'!Y33*(1-'Proje girdileri'!AA33-'Proje girdileri'!AB33)-'Proje girdileri'!Z33))-'Proje girdileri'!AJ33)</x:f>
        <x:v>251.125</x:v>
      </x:c>
      <x:c r="E33" s="24" t="n">
        <x:f>IF(4&gt;'Ayarlar'!$B$6,0,IF(MAX(0,'Ayarlar'!$B$6-IF('Ayarlar'!$B$7&lt;=0,99,ROUNDUP(MAX('Proje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girdileri'!AD33/'Ayarlar'!$B$7,0))/(52/12),0)),4-1&lt;'Proje girdileri'!AH33),POWER(1-'Proje girdileri'!AT33,4-1),0)+IF(AND(2&gt;IF('Ayarlar'!$B$7&lt;=0,99,ROUNDUP(MAX('Proje girdileri'!AC33,ROUNDUP('Proje girdileri'!AD33/'Ayarlar'!$B$7,0))/(52/12),0)),4-2&lt;'Proje girdileri'!AH33),POWER(1-'Proje girdileri'!AT33,4-2),0)+IF(AND(3&gt;IF('Ayarlar'!$B$7&lt;=0,99,ROUNDUP(MAX('Proje girdileri'!AC33,ROUNDUP('Proje girdileri'!AD33/'Ayarlar'!$B$7,0))/(52/12),0)),4-3&lt;'Proje girdileri'!AH33),POWER(1-'Proje girdileri'!AT33,4-3),0)+IF(AND(4&gt;IF('Ayarlar'!$B$7&lt;=0,99,ROUNDUP(MAX('Proje girdileri'!AC33,ROUNDUP('Proje girdileri'!AD33/'Ayarlar'!$B$7,0))/(52/12),0)),4-4&lt;'Proje girdileri'!AH33),POWER(1-'Proje girdileri'!AT33,4-4),0)),IF(4&gt;IF('Ayarlar'!$B$7&lt;=0,99,ROUNDUP(MAX('Proje girdileri'!AC33,ROUNDUP('Proje girdileri'!AD33/'Ayarlar'!$B$7,0))/(52/12),0)),1,0))*('Proje girdileri'!Y33*(1-'Proje girdileri'!AA33-'Proje girdileri'!AB33)-'Proje girdileri'!Z33))-'Proje girdileri'!AJ33)</x:f>
        <x:v>251.125</x:v>
      </x:c>
      <x:c r="F33" s="24" t="n">
        <x:f>IF(5&gt;'Ayarlar'!$B$6,0,IF(MAX(0,'Ayarlar'!$B$6-IF('Ayarlar'!$B$7&lt;=0,99,ROUNDUP(MAX('Proje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girdileri'!AD33/'Ayarlar'!$B$7,0))/(52/12),0)),5-1&lt;'Proje girdileri'!AH33),POWER(1-'Proje girdileri'!AT33,5-1),0)+IF(AND(2&gt;IF('Ayarlar'!$B$7&lt;=0,99,ROUNDUP(MAX('Proje girdileri'!AC33,ROUNDUP('Proje girdileri'!AD33/'Ayarlar'!$B$7,0))/(52/12),0)),5-2&lt;'Proje girdileri'!AH33),POWER(1-'Proje girdileri'!AT33,5-2),0)+IF(AND(3&gt;IF('Ayarlar'!$B$7&lt;=0,99,ROUNDUP(MAX('Proje girdileri'!AC33,ROUNDUP('Proje girdileri'!AD33/'Ayarlar'!$B$7,0))/(52/12),0)),5-3&lt;'Proje girdileri'!AH33),POWER(1-'Proje girdileri'!AT33,5-3),0)+IF(AND(4&gt;IF('Ayarlar'!$B$7&lt;=0,99,ROUNDUP(MAX('Proje girdileri'!AC33,ROUNDUP('Proje girdileri'!AD33/'Ayarlar'!$B$7,0))/(52/12),0)),5-4&lt;'Proje girdileri'!AH33),POWER(1-'Proje girdileri'!AT33,5-4),0)+IF(AND(5&gt;IF('Ayarlar'!$B$7&lt;=0,99,ROUNDUP(MAX('Proje girdileri'!AC33,ROUNDUP('Proje girdileri'!AD33/'Ayarlar'!$B$7,0))/(52/12),0)),5-5&lt;'Proje girdileri'!AH33),POWER(1-'Proje girdileri'!AT33,5-5),0)),IF(5&gt;IF('Ayarlar'!$B$7&lt;=0,99,ROUNDUP(MAX('Proje girdileri'!AC33,ROUNDUP('Proje girdileri'!AD33/'Ayarlar'!$B$7,0))/(52/12),0)),1,0))*('Proje girdileri'!Y33*(1-'Proje girdileri'!AA33-'Proje girdileri'!AB33)-'Proje girdileri'!Z33))-'Proje girdileri'!AJ33)</x:f>
        <x:v>251.125</x:v>
      </x:c>
      <x:c r="G33" s="24" t="n">
        <x:f>IF(6&gt;'Ayarlar'!$B$6,0,IF(MAX(0,'Ayarlar'!$B$6-IF('Ayarlar'!$B$7&lt;=0,99,ROUNDUP(MAX('Proje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girdileri'!AD33/'Ayarlar'!$B$7,0))/(52/12),0)),6-1&lt;'Proje girdileri'!AH33),POWER(1-'Proje girdileri'!AT33,6-1),0)+IF(AND(2&gt;IF('Ayarlar'!$B$7&lt;=0,99,ROUNDUP(MAX('Proje girdileri'!AC33,ROUNDUP('Proje girdileri'!AD33/'Ayarlar'!$B$7,0))/(52/12),0)),6-2&lt;'Proje girdileri'!AH33),POWER(1-'Proje girdileri'!AT33,6-2),0)+IF(AND(3&gt;IF('Ayarlar'!$B$7&lt;=0,99,ROUNDUP(MAX('Proje girdileri'!AC33,ROUNDUP('Proje girdileri'!AD33/'Ayarlar'!$B$7,0))/(52/12),0)),6-3&lt;'Proje girdileri'!AH33),POWER(1-'Proje girdileri'!AT33,6-3),0)+IF(AND(4&gt;IF('Ayarlar'!$B$7&lt;=0,99,ROUNDUP(MAX('Proje girdileri'!AC33,ROUNDUP('Proje girdileri'!AD33/'Ayarlar'!$B$7,0))/(52/12),0)),6-4&lt;'Proje girdileri'!AH33),POWER(1-'Proje girdileri'!AT33,6-4),0)+IF(AND(5&gt;IF('Ayarlar'!$B$7&lt;=0,99,ROUNDUP(MAX('Proje girdileri'!AC33,ROUNDUP('Proje girdileri'!AD33/'Ayarlar'!$B$7,0))/(52/12),0)),6-5&lt;'Proje girdileri'!AH33),POWER(1-'Proje girdileri'!AT33,6-5),0)+IF(AND(6&gt;IF('Ayarlar'!$B$7&lt;=0,99,ROUNDUP(MAX('Proje girdileri'!AC33,ROUNDUP('Proje girdileri'!AD33/'Ayarlar'!$B$7,0))/(52/12),0)),6-6&lt;'Proje girdileri'!AH33),POWER(1-'Proje girdileri'!AT33,6-6),0)),IF(6&gt;IF('Ayarlar'!$B$7&lt;=0,99,ROUNDUP(MAX('Proje girdileri'!AC33,ROUNDUP('Proje girdileri'!AD33/'Ayarlar'!$B$7,0))/(52/12),0)),1,0))*('Proje girdileri'!Y33*(1-'Proje girdileri'!AA33-'Proje girdileri'!AB33)-'Proje girdileri'!Z33))-'Proje girdileri'!AJ33)</x:f>
        <x:v>251.125</x:v>
      </x:c>
      <x:c r="H33" s="24" t="n">
        <x:f>IF(7&gt;'Ayarlar'!$B$6,0,IF(MAX(0,'Ayarlar'!$B$6-IF('Ayarlar'!$B$7&lt;=0,99,ROUNDUP(MAX('Proje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girdileri'!AD33/'Ayarlar'!$B$7,0))/(52/12),0)),7-1&lt;'Proje girdileri'!AH33),POWER(1-'Proje girdileri'!AT33,7-1),0)+IF(AND(2&gt;IF('Ayarlar'!$B$7&lt;=0,99,ROUNDUP(MAX('Proje girdileri'!AC33,ROUNDUP('Proje girdileri'!AD33/'Ayarlar'!$B$7,0))/(52/12),0)),7-2&lt;'Proje girdileri'!AH33),POWER(1-'Proje girdileri'!AT33,7-2),0)+IF(AND(3&gt;IF('Ayarlar'!$B$7&lt;=0,99,ROUNDUP(MAX('Proje girdileri'!AC33,ROUNDUP('Proje girdileri'!AD33/'Ayarlar'!$B$7,0))/(52/12),0)),7-3&lt;'Proje girdileri'!AH33),POWER(1-'Proje girdileri'!AT33,7-3),0)+IF(AND(4&gt;IF('Ayarlar'!$B$7&lt;=0,99,ROUNDUP(MAX('Proje girdileri'!AC33,ROUNDUP('Proje girdileri'!AD33/'Ayarlar'!$B$7,0))/(52/12),0)),7-4&lt;'Proje girdileri'!AH33),POWER(1-'Proje girdileri'!AT33,7-4),0)+IF(AND(5&gt;IF('Ayarlar'!$B$7&lt;=0,99,ROUNDUP(MAX('Proje girdileri'!AC33,ROUNDUP('Proje girdileri'!AD33/'Ayarlar'!$B$7,0))/(52/12),0)),7-5&lt;'Proje girdileri'!AH33),POWER(1-'Proje girdileri'!AT33,7-5),0)+IF(AND(6&gt;IF('Ayarlar'!$B$7&lt;=0,99,ROUNDUP(MAX('Proje girdileri'!AC33,ROUNDUP('Proje girdileri'!AD33/'Ayarlar'!$B$7,0))/(52/12),0)),7-6&lt;'Proje girdileri'!AH33),POWER(1-'Proje girdileri'!AT33,7-6),0)+IF(AND(7&gt;IF('Ayarlar'!$B$7&lt;=0,99,ROUNDUP(MAX('Proje girdileri'!AC33,ROUNDUP('Proje girdileri'!AD33/'Ayarlar'!$B$7,0))/(52/12),0)),7-7&lt;'Proje girdileri'!AH33),POWER(1-'Proje girdileri'!AT33,7-7),0)),IF(7&gt;IF('Ayarlar'!$B$7&lt;=0,99,ROUNDUP(MAX('Proje girdileri'!AC33,ROUNDUP('Proje girdileri'!AD33/'Ayarlar'!$B$7,0))/(52/12),0)),1,0))*('Proje girdileri'!Y33*(1-'Proje girdileri'!AA33-'Proje girdileri'!AB33)-'Proje girdileri'!Z33))-'Proje girdileri'!AJ33)</x:f>
        <x:v>0</x:v>
      </x:c>
      <x:c r="I33" s="24" t="n">
        <x:f>IF(8&gt;'Ayarlar'!$B$6,0,IF(MAX(0,'Ayarlar'!$B$6-IF('Ayarlar'!$B$7&lt;=0,99,ROUNDUP(MAX('Proje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girdileri'!AD33/'Ayarlar'!$B$7,0))/(52/12),0)),8-1&lt;'Proje girdileri'!AH33),POWER(1-'Proje girdileri'!AT33,8-1),0)+IF(AND(2&gt;IF('Ayarlar'!$B$7&lt;=0,99,ROUNDUP(MAX('Proje girdileri'!AC33,ROUNDUP('Proje girdileri'!AD33/'Ayarlar'!$B$7,0))/(52/12),0)),8-2&lt;'Proje girdileri'!AH33),POWER(1-'Proje girdileri'!AT33,8-2),0)+IF(AND(3&gt;IF('Ayarlar'!$B$7&lt;=0,99,ROUNDUP(MAX('Proje girdileri'!AC33,ROUNDUP('Proje girdileri'!AD33/'Ayarlar'!$B$7,0))/(52/12),0)),8-3&lt;'Proje girdileri'!AH33),POWER(1-'Proje girdileri'!AT33,8-3),0)+IF(AND(4&gt;IF('Ayarlar'!$B$7&lt;=0,99,ROUNDUP(MAX('Proje girdileri'!AC33,ROUNDUP('Proje girdileri'!AD33/'Ayarlar'!$B$7,0))/(52/12),0)),8-4&lt;'Proje girdileri'!AH33),POWER(1-'Proje girdileri'!AT33,8-4),0)+IF(AND(5&gt;IF('Ayarlar'!$B$7&lt;=0,99,ROUNDUP(MAX('Proje girdileri'!AC33,ROUNDUP('Proje girdileri'!AD33/'Ayarlar'!$B$7,0))/(52/12),0)),8-5&lt;'Proje girdileri'!AH33),POWER(1-'Proje girdileri'!AT33,8-5),0)+IF(AND(6&gt;IF('Ayarlar'!$B$7&lt;=0,99,ROUNDUP(MAX('Proje girdileri'!AC33,ROUNDUP('Proje girdileri'!AD33/'Ayarlar'!$B$7,0))/(52/12),0)),8-6&lt;'Proje girdileri'!AH33),POWER(1-'Proje girdileri'!AT33,8-6),0)+IF(AND(7&gt;IF('Ayarlar'!$B$7&lt;=0,99,ROUNDUP(MAX('Proje girdileri'!AC33,ROUNDUP('Proje girdileri'!AD33/'Ayarlar'!$B$7,0))/(52/12),0)),8-7&lt;'Proje girdileri'!AH33),POWER(1-'Proje girdileri'!AT33,8-7),0)+IF(AND(8&gt;IF('Ayarlar'!$B$7&lt;=0,99,ROUNDUP(MAX('Proje girdileri'!AC33,ROUNDUP('Proje girdileri'!AD33/'Ayarlar'!$B$7,0))/(52/12),0)),8-8&lt;'Proje girdileri'!AH33),POWER(1-'Proje girdileri'!AT33,8-8),0)),IF(8&gt;IF('Ayarlar'!$B$7&lt;=0,99,ROUNDUP(MAX('Proje girdileri'!AC33,ROUNDUP('Proje girdileri'!AD33/'Ayarlar'!$B$7,0))/(52/12),0)),1,0))*('Proje girdileri'!Y33*(1-'Proje girdileri'!AA33-'Proje girdileri'!AB33)-'Proje girdileri'!Z33))-'Proje girdileri'!AJ33)</x:f>
        <x:v>0</x:v>
      </x:c>
      <x:c r="J33" s="24" t="n">
        <x:f>IF(9&gt;'Ayarlar'!$B$6,0,IF(MAX(0,'Ayarlar'!$B$6-IF('Ayarlar'!$B$7&lt;=0,99,ROUNDUP(MAX('Proje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girdileri'!AD33/'Ayarlar'!$B$7,0))/(52/12),0)),9-1&lt;'Proje girdileri'!AH33),POWER(1-'Proje girdileri'!AT33,9-1),0)+IF(AND(2&gt;IF('Ayarlar'!$B$7&lt;=0,99,ROUNDUP(MAX('Proje girdileri'!AC33,ROUNDUP('Proje girdileri'!AD33/'Ayarlar'!$B$7,0))/(52/12),0)),9-2&lt;'Proje girdileri'!AH33),POWER(1-'Proje girdileri'!AT33,9-2),0)+IF(AND(3&gt;IF('Ayarlar'!$B$7&lt;=0,99,ROUNDUP(MAX('Proje girdileri'!AC33,ROUNDUP('Proje girdileri'!AD33/'Ayarlar'!$B$7,0))/(52/12),0)),9-3&lt;'Proje girdileri'!AH33),POWER(1-'Proje girdileri'!AT33,9-3),0)+IF(AND(4&gt;IF('Ayarlar'!$B$7&lt;=0,99,ROUNDUP(MAX('Proje girdileri'!AC33,ROUNDUP('Proje girdileri'!AD33/'Ayarlar'!$B$7,0))/(52/12),0)),9-4&lt;'Proje girdileri'!AH33),POWER(1-'Proje girdileri'!AT33,9-4),0)+IF(AND(5&gt;IF('Ayarlar'!$B$7&lt;=0,99,ROUNDUP(MAX('Proje girdileri'!AC33,ROUNDUP('Proje girdileri'!AD33/'Ayarlar'!$B$7,0))/(52/12),0)),9-5&lt;'Proje girdileri'!AH33),POWER(1-'Proje girdileri'!AT33,9-5),0)+IF(AND(6&gt;IF('Ayarlar'!$B$7&lt;=0,99,ROUNDUP(MAX('Proje girdileri'!AC33,ROUNDUP('Proje girdileri'!AD33/'Ayarlar'!$B$7,0))/(52/12),0)),9-6&lt;'Proje girdileri'!AH33),POWER(1-'Proje girdileri'!AT33,9-6),0)+IF(AND(7&gt;IF('Ayarlar'!$B$7&lt;=0,99,ROUNDUP(MAX('Proje girdileri'!AC33,ROUNDUP('Proje girdileri'!AD33/'Ayarlar'!$B$7,0))/(52/12),0)),9-7&lt;'Proje girdileri'!AH33),POWER(1-'Proje girdileri'!AT33,9-7),0)+IF(AND(8&gt;IF('Ayarlar'!$B$7&lt;=0,99,ROUNDUP(MAX('Proje girdileri'!AC33,ROUNDUP('Proje girdileri'!AD33/'Ayarlar'!$B$7,0))/(52/12),0)),9-8&lt;'Proje girdileri'!AH33),POWER(1-'Proje girdileri'!AT33,9-8),0)+IF(AND(9&gt;IF('Ayarlar'!$B$7&lt;=0,99,ROUNDUP(MAX('Proje girdileri'!AC33,ROUNDUP('Proje girdileri'!AD33/'Ayarlar'!$B$7,0))/(52/12),0)),9-9&lt;'Proje girdileri'!AH33),POWER(1-'Proje girdileri'!AT33,9-9),0)),IF(9&gt;IF('Ayarlar'!$B$7&lt;=0,99,ROUNDUP(MAX('Proje girdileri'!AC33,ROUNDUP('Proje girdileri'!AD33/'Ayarlar'!$B$7,0))/(52/12),0)),1,0))*('Proje girdileri'!Y33*(1-'Proje girdileri'!AA33-'Proje girdileri'!AB33)-'Proje girdileri'!Z33))-'Proje girdileri'!AJ33)</x:f>
        <x:v>0</x:v>
      </x:c>
      <x:c r="K33" s="24" t="n">
        <x:f>IF(10&gt;'Ayarlar'!$B$6,0,IF(MAX(0,'Ayarlar'!$B$6-IF('Ayarlar'!$B$7&lt;=0,99,ROUNDUP(MAX('Proje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girdileri'!AD33/'Ayarlar'!$B$7,0))/(52/12),0)),10-1&lt;'Proje girdileri'!AH33),POWER(1-'Proje girdileri'!AT33,10-1),0)+IF(AND(2&gt;IF('Ayarlar'!$B$7&lt;=0,99,ROUNDUP(MAX('Proje girdileri'!AC33,ROUNDUP('Proje girdileri'!AD33/'Ayarlar'!$B$7,0))/(52/12),0)),10-2&lt;'Proje girdileri'!AH33),POWER(1-'Proje girdileri'!AT33,10-2),0)+IF(AND(3&gt;IF('Ayarlar'!$B$7&lt;=0,99,ROUNDUP(MAX('Proje girdileri'!AC33,ROUNDUP('Proje girdileri'!AD33/'Ayarlar'!$B$7,0))/(52/12),0)),10-3&lt;'Proje girdileri'!AH33),POWER(1-'Proje girdileri'!AT33,10-3),0)+IF(AND(4&gt;IF('Ayarlar'!$B$7&lt;=0,99,ROUNDUP(MAX('Proje girdileri'!AC33,ROUNDUP('Proje girdileri'!AD33/'Ayarlar'!$B$7,0))/(52/12),0)),10-4&lt;'Proje girdileri'!AH33),POWER(1-'Proje girdileri'!AT33,10-4),0)+IF(AND(5&gt;IF('Ayarlar'!$B$7&lt;=0,99,ROUNDUP(MAX('Proje girdileri'!AC33,ROUNDUP('Proje girdileri'!AD33/'Ayarlar'!$B$7,0))/(52/12),0)),10-5&lt;'Proje girdileri'!AH33),POWER(1-'Proje girdileri'!AT33,10-5),0)+IF(AND(6&gt;IF('Ayarlar'!$B$7&lt;=0,99,ROUNDUP(MAX('Proje girdileri'!AC33,ROUNDUP('Proje girdileri'!AD33/'Ayarlar'!$B$7,0))/(52/12),0)),10-6&lt;'Proje girdileri'!AH33),POWER(1-'Proje girdileri'!AT33,10-6),0)+IF(AND(7&gt;IF('Ayarlar'!$B$7&lt;=0,99,ROUNDUP(MAX('Proje girdileri'!AC33,ROUNDUP('Proje girdileri'!AD33/'Ayarlar'!$B$7,0))/(52/12),0)),10-7&lt;'Proje girdileri'!AH33),POWER(1-'Proje girdileri'!AT33,10-7),0)+IF(AND(8&gt;IF('Ayarlar'!$B$7&lt;=0,99,ROUNDUP(MAX('Proje girdileri'!AC33,ROUNDUP('Proje girdileri'!AD33/'Ayarlar'!$B$7,0))/(52/12),0)),10-8&lt;'Proje girdileri'!AH33),POWER(1-'Proje girdileri'!AT33,10-8),0)+IF(AND(9&gt;IF('Ayarlar'!$B$7&lt;=0,99,ROUNDUP(MAX('Proje girdileri'!AC33,ROUNDUP('Proje girdileri'!AD33/'Ayarlar'!$B$7,0))/(52/12),0)),10-9&lt;'Proje girdileri'!AH33),POWER(1-'Proje girdileri'!AT33,10-9),0)+IF(AND(10&gt;IF('Ayarlar'!$B$7&lt;=0,99,ROUNDUP(MAX('Proje girdileri'!AC33,ROUNDUP('Proje girdileri'!AD33/'Ayarlar'!$B$7,0))/(52/12),0)),10-10&lt;'Proje girdileri'!AH33),POWER(1-'Proje girdileri'!AT33,10-10),0)),IF(10&gt;IF('Ayarlar'!$B$7&lt;=0,99,ROUNDUP(MAX('Proje girdileri'!AC33,ROUNDUP('Proje girdileri'!AD33/'Ayarlar'!$B$7,0))/(52/12),0)),1,0))*('Proje girdileri'!Y33*(1-'Proje girdileri'!AA33-'Proje girdileri'!AB33)-'Proje girdileri'!Z33))-'Proje girdileri'!AJ33)</x:f>
        <x:v>0</x:v>
      </x:c>
      <x:c r="L33" s="24" t="n">
        <x:f>IF(11&gt;'Ayarlar'!$B$6,0,IF(MAX(0,'Ayarlar'!$B$6-IF('Ayarlar'!$B$7&lt;=0,99,ROUNDUP(MAX('Proje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girdileri'!AD33/'Ayarlar'!$B$7,0))/(52/12),0)),11-1&lt;'Proje girdileri'!AH33),POWER(1-'Proje girdileri'!AT33,11-1),0)+IF(AND(2&gt;IF('Ayarlar'!$B$7&lt;=0,99,ROUNDUP(MAX('Proje girdileri'!AC33,ROUNDUP('Proje girdileri'!AD33/'Ayarlar'!$B$7,0))/(52/12),0)),11-2&lt;'Proje girdileri'!AH33),POWER(1-'Proje girdileri'!AT33,11-2),0)+IF(AND(3&gt;IF('Ayarlar'!$B$7&lt;=0,99,ROUNDUP(MAX('Proje girdileri'!AC33,ROUNDUP('Proje girdileri'!AD33/'Ayarlar'!$B$7,0))/(52/12),0)),11-3&lt;'Proje girdileri'!AH33),POWER(1-'Proje girdileri'!AT33,11-3),0)+IF(AND(4&gt;IF('Ayarlar'!$B$7&lt;=0,99,ROUNDUP(MAX('Proje girdileri'!AC33,ROUNDUP('Proje girdileri'!AD33/'Ayarlar'!$B$7,0))/(52/12),0)),11-4&lt;'Proje girdileri'!AH33),POWER(1-'Proje girdileri'!AT33,11-4),0)+IF(AND(5&gt;IF('Ayarlar'!$B$7&lt;=0,99,ROUNDUP(MAX('Proje girdileri'!AC33,ROUNDUP('Proje girdileri'!AD33/'Ayarlar'!$B$7,0))/(52/12),0)),11-5&lt;'Proje girdileri'!AH33),POWER(1-'Proje girdileri'!AT33,11-5),0)+IF(AND(6&gt;IF('Ayarlar'!$B$7&lt;=0,99,ROUNDUP(MAX('Proje girdileri'!AC33,ROUNDUP('Proje girdileri'!AD33/'Ayarlar'!$B$7,0))/(52/12),0)),11-6&lt;'Proje girdileri'!AH33),POWER(1-'Proje girdileri'!AT33,11-6),0)+IF(AND(7&gt;IF('Ayarlar'!$B$7&lt;=0,99,ROUNDUP(MAX('Proje girdileri'!AC33,ROUNDUP('Proje girdileri'!AD33/'Ayarlar'!$B$7,0))/(52/12),0)),11-7&lt;'Proje girdileri'!AH33),POWER(1-'Proje girdileri'!AT33,11-7),0)+IF(AND(8&gt;IF('Ayarlar'!$B$7&lt;=0,99,ROUNDUP(MAX('Proje girdileri'!AC33,ROUNDUP('Proje girdileri'!AD33/'Ayarlar'!$B$7,0))/(52/12),0)),11-8&lt;'Proje girdileri'!AH33),POWER(1-'Proje girdileri'!AT33,11-8),0)+IF(AND(9&gt;IF('Ayarlar'!$B$7&lt;=0,99,ROUNDUP(MAX('Proje girdileri'!AC33,ROUNDUP('Proje girdileri'!AD33/'Ayarlar'!$B$7,0))/(52/12),0)),11-9&lt;'Proje girdileri'!AH33),POWER(1-'Proje girdileri'!AT33,11-9),0)+IF(AND(10&gt;IF('Ayarlar'!$B$7&lt;=0,99,ROUNDUP(MAX('Proje girdileri'!AC33,ROUNDUP('Proje girdileri'!AD33/'Ayarlar'!$B$7,0))/(52/12),0)),11-10&lt;'Proje girdileri'!AH33),POWER(1-'Proje girdileri'!AT33,11-10),0)+IF(AND(11&gt;IF('Ayarlar'!$B$7&lt;=0,99,ROUNDUP(MAX('Proje girdileri'!AC33,ROUNDUP('Proje girdileri'!AD33/'Ayarlar'!$B$7,0))/(52/12),0)),11-11&lt;'Proje girdileri'!AH33),POWER(1-'Proje girdileri'!AT33,11-11),0)),IF(11&gt;IF('Ayarlar'!$B$7&lt;=0,99,ROUNDUP(MAX('Proje girdileri'!AC33,ROUNDUP('Proje girdileri'!AD33/'Ayarlar'!$B$7,0))/(52/12),0)),1,0))*('Proje girdileri'!Y33*(1-'Proje girdileri'!AA33-'Proje girdileri'!AB33)-'Proje girdileri'!Z33))-'Proje girdileri'!AJ33)</x:f>
        <x:v>0</x:v>
      </x:c>
      <x:c r="M33" s="24" t="n">
        <x:f>IF(12&gt;'Ayarlar'!$B$6,0,IF(MAX(0,'Ayarlar'!$B$6-IF('Ayarlar'!$B$7&lt;=0,99,ROUNDUP(MAX('Proje girdileri'!AC33,ROUNDUP('Proje girdileri'!AD33/'Ayarlar'!$B$7,0))/(52/12),0)))=0,0,'Hesap'!I33/MAX(0,'Ayarlar'!$B$6-IF('Ayarlar'!$B$7&lt;=0,99,ROUNDUP(MAX('Proje girdileri'!AC33,ROUNDUP('Proje girdileri'!AD33/'Ayarlar'!$B$7,0))/(52/12),0)))*IF('Proje girdileri'!C33="recurring",(IF(AND(1&gt;IF('Ayarlar'!$B$7&lt;=0,99,ROUNDUP(MAX('Proje girdileri'!AC33,ROUNDUP('Proje girdileri'!AD33/'Ayarlar'!$B$7,0))/(52/12),0)),12-1&lt;'Proje girdileri'!AH33),POWER(1-'Proje girdileri'!AT33,12-1),0)+IF(AND(2&gt;IF('Ayarlar'!$B$7&lt;=0,99,ROUNDUP(MAX('Proje girdileri'!AC33,ROUNDUP('Proje girdileri'!AD33/'Ayarlar'!$B$7,0))/(52/12),0)),12-2&lt;'Proje girdileri'!AH33),POWER(1-'Proje girdileri'!AT33,12-2),0)+IF(AND(3&gt;IF('Ayarlar'!$B$7&lt;=0,99,ROUNDUP(MAX('Proje girdileri'!AC33,ROUNDUP('Proje girdileri'!AD33/'Ayarlar'!$B$7,0))/(52/12),0)),12-3&lt;'Proje girdileri'!AH33),POWER(1-'Proje girdileri'!AT33,12-3),0)+IF(AND(4&gt;IF('Ayarlar'!$B$7&lt;=0,99,ROUNDUP(MAX('Proje girdileri'!AC33,ROUNDUP('Proje girdileri'!AD33/'Ayarlar'!$B$7,0))/(52/12),0)),12-4&lt;'Proje girdileri'!AH33),POWER(1-'Proje girdileri'!AT33,12-4),0)+IF(AND(5&gt;IF('Ayarlar'!$B$7&lt;=0,99,ROUNDUP(MAX('Proje girdileri'!AC33,ROUNDUP('Proje girdileri'!AD33/'Ayarlar'!$B$7,0))/(52/12),0)),12-5&lt;'Proje girdileri'!AH33),POWER(1-'Proje girdileri'!AT33,12-5),0)+IF(AND(6&gt;IF('Ayarlar'!$B$7&lt;=0,99,ROUNDUP(MAX('Proje girdileri'!AC33,ROUNDUP('Proje girdileri'!AD33/'Ayarlar'!$B$7,0))/(52/12),0)),12-6&lt;'Proje girdileri'!AH33),POWER(1-'Proje girdileri'!AT33,12-6),0)+IF(AND(7&gt;IF('Ayarlar'!$B$7&lt;=0,99,ROUNDUP(MAX('Proje girdileri'!AC33,ROUNDUP('Proje girdileri'!AD33/'Ayarlar'!$B$7,0))/(52/12),0)),12-7&lt;'Proje girdileri'!AH33),POWER(1-'Proje girdileri'!AT33,12-7),0)+IF(AND(8&gt;IF('Ayarlar'!$B$7&lt;=0,99,ROUNDUP(MAX('Proje girdileri'!AC33,ROUNDUP('Proje girdileri'!AD33/'Ayarlar'!$B$7,0))/(52/12),0)),12-8&lt;'Proje girdileri'!AH33),POWER(1-'Proje girdileri'!AT33,12-8),0)+IF(AND(9&gt;IF('Ayarlar'!$B$7&lt;=0,99,ROUNDUP(MAX('Proje girdileri'!AC33,ROUNDUP('Proje girdileri'!AD33/'Ayarlar'!$B$7,0))/(52/12),0)),12-9&lt;'Proje girdileri'!AH33),POWER(1-'Proje girdileri'!AT33,12-9),0)+IF(AND(10&gt;IF('Ayarlar'!$B$7&lt;=0,99,ROUNDUP(MAX('Proje girdileri'!AC33,ROUNDUP('Proje girdileri'!AD33/'Ayarlar'!$B$7,0))/(52/12),0)),12-10&lt;'Proje girdileri'!AH33),POWER(1-'Proje girdileri'!AT33,12-10),0)+IF(AND(11&gt;IF('Ayarlar'!$B$7&lt;=0,99,ROUNDUP(MAX('Proje girdileri'!AC33,ROUNDUP('Proje girdileri'!AD33/'Ayarlar'!$B$7,0))/(52/12),0)),12-11&lt;'Proje girdileri'!AH33),POWER(1-'Proje girdileri'!AT33,12-11),0)+IF(AND(12&gt;IF('Ayarlar'!$B$7&lt;=0,99,ROUNDUP(MAX('Proje girdileri'!AC33,ROUNDUP('Proje girdileri'!AD33/'Ayarlar'!$B$7,0))/(52/12),0)),12-12&lt;'Proje girdileri'!AH33),POWER(1-'Proje girdileri'!AT33,12-12),0)),IF(12&gt;IF('Ayarlar'!$B$7&lt;=0,99,ROUNDUP(MAX('Proje girdileri'!AC33,ROUNDUP('Proje girdileri'!AD33/'Ayarlar'!$B$7,0))/(52/12),0)),1,0))*('Proje girdileri'!Y33*(1-'Proje girdileri'!AA33-'Proje girdileri'!AB33)-'Proje girdileri'!Z33))-'Proje girdileri'!AJ33)</x:f>
        <x:v>0</x:v>
      </x:c>
      <x:c r="N33" s="24" t="n">
        <x:f>SUM(B33:M33)</x:f>
        <x:v>913.5</x:v>
      </x:c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</x:row>
    <x:row r="34" ht="24" customHeight="1">
      <x:c r="A34" s="2" t="str">
        <x:f>'Hesap'!B34</x:f>
        <x:v>Kernel adapter</x:v>
      </x:c>
      <x:c r="B34" s="24" t="n">
        <x:f>IF(1&gt;'Ayarlar'!$B$6,0,IF(MAX(0,'Ayarlar'!$B$6-IF('Ayarlar'!$B$7&lt;=0,99,ROUNDUP(MAX('Proje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girdileri'!AD34/'Ayarlar'!$B$7,0))/(52/12),0)),1-1&lt;'Proje girdileri'!AH34),POWER(1-'Proje girdileri'!AT34,1-1),0)),IF(1&gt;IF('Ayarlar'!$B$7&lt;=0,99,ROUNDUP(MAX('Proje girdileri'!AC34,ROUNDUP('Proje girdileri'!AD34/'Ayarlar'!$B$7,0))/(52/12),0)),1,0))*('Proje girdileri'!Y34*(1-'Proje girdileri'!AA34-'Proje girdileri'!AB34)-'Proje girdileri'!Z34))-'Proje girdileri'!AJ34-'Proje girdileri'!AI34)</x:f>
        <x:v>0</x:v>
      </x:c>
      <x:c r="C34" s="24" t="n">
        <x:f>IF(2&gt;'Ayarlar'!$B$6,0,IF(MAX(0,'Ayarlar'!$B$6-IF('Ayarlar'!$B$7&lt;=0,99,ROUNDUP(MAX('Proje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girdileri'!AD34/'Ayarlar'!$B$7,0))/(52/12),0)),2-1&lt;'Proje girdileri'!AH34),POWER(1-'Proje girdileri'!AT34,2-1),0)+IF(AND(2&gt;IF('Ayarlar'!$B$7&lt;=0,99,ROUNDUP(MAX('Proje girdileri'!AC34,ROUNDUP('Proje girdileri'!AD34/'Ayarlar'!$B$7,0))/(52/12),0)),2-2&lt;'Proje girdileri'!AH34),POWER(1-'Proje girdileri'!AT34,2-2),0)),IF(2&gt;IF('Ayarlar'!$B$7&lt;=0,99,ROUNDUP(MAX('Proje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D34" s="24" t="n">
        <x:f>IF(3&gt;'Ayarlar'!$B$6,0,IF(MAX(0,'Ayarlar'!$B$6-IF('Ayarlar'!$B$7&lt;=0,99,ROUNDUP(MAX('Proje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girdileri'!AD34/'Ayarlar'!$B$7,0))/(52/12),0)),3-1&lt;'Proje girdileri'!AH34),POWER(1-'Proje girdileri'!AT34,3-1),0)+IF(AND(2&gt;IF('Ayarlar'!$B$7&lt;=0,99,ROUNDUP(MAX('Proje girdileri'!AC34,ROUNDUP('Proje girdileri'!AD34/'Ayarlar'!$B$7,0))/(52/12),0)),3-2&lt;'Proje girdileri'!AH34),POWER(1-'Proje girdileri'!AT34,3-2),0)+IF(AND(3&gt;IF('Ayarlar'!$B$7&lt;=0,99,ROUNDUP(MAX('Proje girdileri'!AC34,ROUNDUP('Proje girdileri'!AD34/'Ayarlar'!$B$7,0))/(52/12),0)),3-3&lt;'Proje girdileri'!AH34),POWER(1-'Proje girdileri'!AT34,3-3),0)),IF(3&gt;IF('Ayarlar'!$B$7&lt;=0,99,ROUNDUP(MAX('Proje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E34" s="24" t="n">
        <x:f>IF(4&gt;'Ayarlar'!$B$6,0,IF(MAX(0,'Ayarlar'!$B$6-IF('Ayarlar'!$B$7&lt;=0,99,ROUNDUP(MAX('Proje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girdileri'!AD34/'Ayarlar'!$B$7,0))/(52/12),0)),4-1&lt;'Proje girdileri'!AH34),POWER(1-'Proje girdileri'!AT34,4-1),0)+IF(AND(2&gt;IF('Ayarlar'!$B$7&lt;=0,99,ROUNDUP(MAX('Proje girdileri'!AC34,ROUNDUP('Proje girdileri'!AD34/'Ayarlar'!$B$7,0))/(52/12),0)),4-2&lt;'Proje girdileri'!AH34),POWER(1-'Proje girdileri'!AT34,4-2),0)+IF(AND(3&gt;IF('Ayarlar'!$B$7&lt;=0,99,ROUNDUP(MAX('Proje girdileri'!AC34,ROUNDUP('Proje girdileri'!AD34/'Ayarlar'!$B$7,0))/(52/12),0)),4-3&lt;'Proje girdileri'!AH34),POWER(1-'Proje girdileri'!AT34,4-3),0)+IF(AND(4&gt;IF('Ayarlar'!$B$7&lt;=0,99,ROUNDUP(MAX('Proje girdileri'!AC34,ROUNDUP('Proje girdileri'!AD34/'Ayarlar'!$B$7,0))/(52/12),0)),4-4&lt;'Proje girdileri'!AH34),POWER(1-'Proje girdileri'!AT34,4-4),0)),IF(4&gt;IF('Ayarlar'!$B$7&lt;=0,99,ROUNDUP(MAX('Proje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F34" s="24" t="n">
        <x:f>IF(5&gt;'Ayarlar'!$B$6,0,IF(MAX(0,'Ayarlar'!$B$6-IF('Ayarlar'!$B$7&lt;=0,99,ROUNDUP(MAX('Proje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girdileri'!AD34/'Ayarlar'!$B$7,0))/(52/12),0)),5-1&lt;'Proje girdileri'!AH34),POWER(1-'Proje girdileri'!AT34,5-1),0)+IF(AND(2&gt;IF('Ayarlar'!$B$7&lt;=0,99,ROUNDUP(MAX('Proje girdileri'!AC34,ROUNDUP('Proje girdileri'!AD34/'Ayarlar'!$B$7,0))/(52/12),0)),5-2&lt;'Proje girdileri'!AH34),POWER(1-'Proje girdileri'!AT34,5-2),0)+IF(AND(3&gt;IF('Ayarlar'!$B$7&lt;=0,99,ROUNDUP(MAX('Proje girdileri'!AC34,ROUNDUP('Proje girdileri'!AD34/'Ayarlar'!$B$7,0))/(52/12),0)),5-3&lt;'Proje girdileri'!AH34),POWER(1-'Proje girdileri'!AT34,5-3),0)+IF(AND(4&gt;IF('Ayarlar'!$B$7&lt;=0,99,ROUNDUP(MAX('Proje girdileri'!AC34,ROUNDUP('Proje girdileri'!AD34/'Ayarlar'!$B$7,0))/(52/12),0)),5-4&lt;'Proje girdileri'!AH34),POWER(1-'Proje girdileri'!AT34,5-4),0)+IF(AND(5&gt;IF('Ayarlar'!$B$7&lt;=0,99,ROUNDUP(MAX('Proje girdileri'!AC34,ROUNDUP('Proje girdileri'!AD34/'Ayarlar'!$B$7,0))/(52/12),0)),5-5&lt;'Proje girdileri'!AH34),POWER(1-'Proje girdileri'!AT34,5-5),0)),IF(5&gt;IF('Ayarlar'!$B$7&lt;=0,99,ROUNDUP(MAX('Proje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G34" s="24" t="n">
        <x:f>IF(6&gt;'Ayarlar'!$B$6,0,IF(MAX(0,'Ayarlar'!$B$6-IF('Ayarlar'!$B$7&lt;=0,99,ROUNDUP(MAX('Proje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girdileri'!AD34/'Ayarlar'!$B$7,0))/(52/12),0)),6-1&lt;'Proje girdileri'!AH34),POWER(1-'Proje girdileri'!AT34,6-1),0)+IF(AND(2&gt;IF('Ayarlar'!$B$7&lt;=0,99,ROUNDUP(MAX('Proje girdileri'!AC34,ROUNDUP('Proje girdileri'!AD34/'Ayarlar'!$B$7,0))/(52/12),0)),6-2&lt;'Proje girdileri'!AH34),POWER(1-'Proje girdileri'!AT34,6-2),0)+IF(AND(3&gt;IF('Ayarlar'!$B$7&lt;=0,99,ROUNDUP(MAX('Proje girdileri'!AC34,ROUNDUP('Proje girdileri'!AD34/'Ayarlar'!$B$7,0))/(52/12),0)),6-3&lt;'Proje girdileri'!AH34),POWER(1-'Proje girdileri'!AT34,6-3),0)+IF(AND(4&gt;IF('Ayarlar'!$B$7&lt;=0,99,ROUNDUP(MAX('Proje girdileri'!AC34,ROUNDUP('Proje girdileri'!AD34/'Ayarlar'!$B$7,0))/(52/12),0)),6-4&lt;'Proje girdileri'!AH34),POWER(1-'Proje girdileri'!AT34,6-4),0)+IF(AND(5&gt;IF('Ayarlar'!$B$7&lt;=0,99,ROUNDUP(MAX('Proje girdileri'!AC34,ROUNDUP('Proje girdileri'!AD34/'Ayarlar'!$B$7,0))/(52/12),0)),6-5&lt;'Proje girdileri'!AH34),POWER(1-'Proje girdileri'!AT34,6-5),0)+IF(AND(6&gt;IF('Ayarlar'!$B$7&lt;=0,99,ROUNDUP(MAX('Proje girdileri'!AC34,ROUNDUP('Proje girdileri'!AD34/'Ayarlar'!$B$7,0))/(52/12),0)),6-6&lt;'Proje girdileri'!AH34),POWER(1-'Proje girdileri'!AT34,6-6),0)),IF(6&gt;IF('Ayarlar'!$B$7&lt;=0,99,ROUNDUP(MAX('Proje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H34" s="24" t="n">
        <x:f>IF(7&gt;'Ayarlar'!$B$6,0,IF(MAX(0,'Ayarlar'!$B$6-IF('Ayarlar'!$B$7&lt;=0,99,ROUNDUP(MAX('Proje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girdileri'!AD34/'Ayarlar'!$B$7,0))/(52/12),0)),7-1&lt;'Proje girdileri'!AH34),POWER(1-'Proje girdileri'!AT34,7-1),0)+IF(AND(2&gt;IF('Ayarlar'!$B$7&lt;=0,99,ROUNDUP(MAX('Proje girdileri'!AC34,ROUNDUP('Proje girdileri'!AD34/'Ayarlar'!$B$7,0))/(52/12),0)),7-2&lt;'Proje girdileri'!AH34),POWER(1-'Proje girdileri'!AT34,7-2),0)+IF(AND(3&gt;IF('Ayarlar'!$B$7&lt;=0,99,ROUNDUP(MAX('Proje girdileri'!AC34,ROUNDUP('Proje girdileri'!AD34/'Ayarlar'!$B$7,0))/(52/12),0)),7-3&lt;'Proje girdileri'!AH34),POWER(1-'Proje girdileri'!AT34,7-3),0)+IF(AND(4&gt;IF('Ayarlar'!$B$7&lt;=0,99,ROUNDUP(MAX('Proje girdileri'!AC34,ROUNDUP('Proje girdileri'!AD34/'Ayarlar'!$B$7,0))/(52/12),0)),7-4&lt;'Proje girdileri'!AH34),POWER(1-'Proje girdileri'!AT34,7-4),0)+IF(AND(5&gt;IF('Ayarlar'!$B$7&lt;=0,99,ROUNDUP(MAX('Proje girdileri'!AC34,ROUNDUP('Proje girdileri'!AD34/'Ayarlar'!$B$7,0))/(52/12),0)),7-5&lt;'Proje girdileri'!AH34),POWER(1-'Proje girdileri'!AT34,7-5),0)+IF(AND(6&gt;IF('Ayarlar'!$B$7&lt;=0,99,ROUNDUP(MAX('Proje girdileri'!AC34,ROUNDUP('Proje girdileri'!AD34/'Ayarlar'!$B$7,0))/(52/12),0)),7-6&lt;'Proje girdileri'!AH34),POWER(1-'Proje girdileri'!AT34,7-6),0)+IF(AND(7&gt;IF('Ayarlar'!$B$7&lt;=0,99,ROUNDUP(MAX('Proje girdileri'!AC34,ROUNDUP('Proje girdileri'!AD34/'Ayarlar'!$B$7,0))/(52/12),0)),7-7&lt;'Proje girdileri'!AH34),POWER(1-'Proje girdileri'!AT34,7-7),0)),IF(7&gt;IF('Ayarlar'!$B$7&lt;=0,99,ROUNDUP(MAX('Proje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I34" s="24" t="n">
        <x:f>IF(8&gt;'Ayarlar'!$B$6,0,IF(MAX(0,'Ayarlar'!$B$6-IF('Ayarlar'!$B$7&lt;=0,99,ROUNDUP(MAX('Proje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girdileri'!AD34/'Ayarlar'!$B$7,0))/(52/12),0)),8-1&lt;'Proje girdileri'!AH34),POWER(1-'Proje girdileri'!AT34,8-1),0)+IF(AND(2&gt;IF('Ayarlar'!$B$7&lt;=0,99,ROUNDUP(MAX('Proje girdileri'!AC34,ROUNDUP('Proje girdileri'!AD34/'Ayarlar'!$B$7,0))/(52/12),0)),8-2&lt;'Proje girdileri'!AH34),POWER(1-'Proje girdileri'!AT34,8-2),0)+IF(AND(3&gt;IF('Ayarlar'!$B$7&lt;=0,99,ROUNDUP(MAX('Proje girdileri'!AC34,ROUNDUP('Proje girdileri'!AD34/'Ayarlar'!$B$7,0))/(52/12),0)),8-3&lt;'Proje girdileri'!AH34),POWER(1-'Proje girdileri'!AT34,8-3),0)+IF(AND(4&gt;IF('Ayarlar'!$B$7&lt;=0,99,ROUNDUP(MAX('Proje girdileri'!AC34,ROUNDUP('Proje girdileri'!AD34/'Ayarlar'!$B$7,0))/(52/12),0)),8-4&lt;'Proje girdileri'!AH34),POWER(1-'Proje girdileri'!AT34,8-4),0)+IF(AND(5&gt;IF('Ayarlar'!$B$7&lt;=0,99,ROUNDUP(MAX('Proje girdileri'!AC34,ROUNDUP('Proje girdileri'!AD34/'Ayarlar'!$B$7,0))/(52/12),0)),8-5&lt;'Proje girdileri'!AH34),POWER(1-'Proje girdileri'!AT34,8-5),0)+IF(AND(6&gt;IF('Ayarlar'!$B$7&lt;=0,99,ROUNDUP(MAX('Proje girdileri'!AC34,ROUNDUP('Proje girdileri'!AD34/'Ayarlar'!$B$7,0))/(52/12),0)),8-6&lt;'Proje girdileri'!AH34),POWER(1-'Proje girdileri'!AT34,8-6),0)+IF(AND(7&gt;IF('Ayarlar'!$B$7&lt;=0,99,ROUNDUP(MAX('Proje girdileri'!AC34,ROUNDUP('Proje girdileri'!AD34/'Ayarlar'!$B$7,0))/(52/12),0)),8-7&lt;'Proje girdileri'!AH34),POWER(1-'Proje girdileri'!AT34,8-7),0)+IF(AND(8&gt;IF('Ayarlar'!$B$7&lt;=0,99,ROUNDUP(MAX('Proje girdileri'!AC34,ROUNDUP('Proje girdileri'!AD34/'Ayarlar'!$B$7,0))/(52/12),0)),8-8&lt;'Proje girdileri'!AH34),POWER(1-'Proje girdileri'!AT34,8-8),0)),IF(8&gt;IF('Ayarlar'!$B$7&lt;=0,99,ROUNDUP(MAX('Proje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J34" s="24" t="n">
        <x:f>IF(9&gt;'Ayarlar'!$B$6,0,IF(MAX(0,'Ayarlar'!$B$6-IF('Ayarlar'!$B$7&lt;=0,99,ROUNDUP(MAX('Proje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girdileri'!AD34/'Ayarlar'!$B$7,0))/(52/12),0)),9-1&lt;'Proje girdileri'!AH34),POWER(1-'Proje girdileri'!AT34,9-1),0)+IF(AND(2&gt;IF('Ayarlar'!$B$7&lt;=0,99,ROUNDUP(MAX('Proje girdileri'!AC34,ROUNDUP('Proje girdileri'!AD34/'Ayarlar'!$B$7,0))/(52/12),0)),9-2&lt;'Proje girdileri'!AH34),POWER(1-'Proje girdileri'!AT34,9-2),0)+IF(AND(3&gt;IF('Ayarlar'!$B$7&lt;=0,99,ROUNDUP(MAX('Proje girdileri'!AC34,ROUNDUP('Proje girdileri'!AD34/'Ayarlar'!$B$7,0))/(52/12),0)),9-3&lt;'Proje girdileri'!AH34),POWER(1-'Proje girdileri'!AT34,9-3),0)+IF(AND(4&gt;IF('Ayarlar'!$B$7&lt;=0,99,ROUNDUP(MAX('Proje girdileri'!AC34,ROUNDUP('Proje girdileri'!AD34/'Ayarlar'!$B$7,0))/(52/12),0)),9-4&lt;'Proje girdileri'!AH34),POWER(1-'Proje girdileri'!AT34,9-4),0)+IF(AND(5&gt;IF('Ayarlar'!$B$7&lt;=0,99,ROUNDUP(MAX('Proje girdileri'!AC34,ROUNDUP('Proje girdileri'!AD34/'Ayarlar'!$B$7,0))/(52/12),0)),9-5&lt;'Proje girdileri'!AH34),POWER(1-'Proje girdileri'!AT34,9-5),0)+IF(AND(6&gt;IF('Ayarlar'!$B$7&lt;=0,99,ROUNDUP(MAX('Proje girdileri'!AC34,ROUNDUP('Proje girdileri'!AD34/'Ayarlar'!$B$7,0))/(52/12),0)),9-6&lt;'Proje girdileri'!AH34),POWER(1-'Proje girdileri'!AT34,9-6),0)+IF(AND(7&gt;IF('Ayarlar'!$B$7&lt;=0,99,ROUNDUP(MAX('Proje girdileri'!AC34,ROUNDUP('Proje girdileri'!AD34/'Ayarlar'!$B$7,0))/(52/12),0)),9-7&lt;'Proje girdileri'!AH34),POWER(1-'Proje girdileri'!AT34,9-7),0)+IF(AND(8&gt;IF('Ayarlar'!$B$7&lt;=0,99,ROUNDUP(MAX('Proje girdileri'!AC34,ROUNDUP('Proje girdileri'!AD34/'Ayarlar'!$B$7,0))/(52/12),0)),9-8&lt;'Proje girdileri'!AH34),POWER(1-'Proje girdileri'!AT34,9-8),0)+IF(AND(9&gt;IF('Ayarlar'!$B$7&lt;=0,99,ROUNDUP(MAX('Proje girdileri'!AC34,ROUNDUP('Proje girdileri'!AD34/'Ayarlar'!$B$7,0))/(52/12),0)),9-9&lt;'Proje girdileri'!AH34),POWER(1-'Proje girdileri'!AT34,9-9),0)),IF(9&gt;IF('Ayarlar'!$B$7&lt;=0,99,ROUNDUP(MAX('Proje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K34" s="24" t="n">
        <x:f>IF(10&gt;'Ayarlar'!$B$6,0,IF(MAX(0,'Ayarlar'!$B$6-IF('Ayarlar'!$B$7&lt;=0,99,ROUNDUP(MAX('Proje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girdileri'!AD34/'Ayarlar'!$B$7,0))/(52/12),0)),10-1&lt;'Proje girdileri'!AH34),POWER(1-'Proje girdileri'!AT34,10-1),0)+IF(AND(2&gt;IF('Ayarlar'!$B$7&lt;=0,99,ROUNDUP(MAX('Proje girdileri'!AC34,ROUNDUP('Proje girdileri'!AD34/'Ayarlar'!$B$7,0))/(52/12),0)),10-2&lt;'Proje girdileri'!AH34),POWER(1-'Proje girdileri'!AT34,10-2),0)+IF(AND(3&gt;IF('Ayarlar'!$B$7&lt;=0,99,ROUNDUP(MAX('Proje girdileri'!AC34,ROUNDUP('Proje girdileri'!AD34/'Ayarlar'!$B$7,0))/(52/12),0)),10-3&lt;'Proje girdileri'!AH34),POWER(1-'Proje girdileri'!AT34,10-3),0)+IF(AND(4&gt;IF('Ayarlar'!$B$7&lt;=0,99,ROUNDUP(MAX('Proje girdileri'!AC34,ROUNDUP('Proje girdileri'!AD34/'Ayarlar'!$B$7,0))/(52/12),0)),10-4&lt;'Proje girdileri'!AH34),POWER(1-'Proje girdileri'!AT34,10-4),0)+IF(AND(5&gt;IF('Ayarlar'!$B$7&lt;=0,99,ROUNDUP(MAX('Proje girdileri'!AC34,ROUNDUP('Proje girdileri'!AD34/'Ayarlar'!$B$7,0))/(52/12),0)),10-5&lt;'Proje girdileri'!AH34),POWER(1-'Proje girdileri'!AT34,10-5),0)+IF(AND(6&gt;IF('Ayarlar'!$B$7&lt;=0,99,ROUNDUP(MAX('Proje girdileri'!AC34,ROUNDUP('Proje girdileri'!AD34/'Ayarlar'!$B$7,0))/(52/12),0)),10-6&lt;'Proje girdileri'!AH34),POWER(1-'Proje girdileri'!AT34,10-6),0)+IF(AND(7&gt;IF('Ayarlar'!$B$7&lt;=0,99,ROUNDUP(MAX('Proje girdileri'!AC34,ROUNDUP('Proje girdileri'!AD34/'Ayarlar'!$B$7,0))/(52/12),0)),10-7&lt;'Proje girdileri'!AH34),POWER(1-'Proje girdileri'!AT34,10-7),0)+IF(AND(8&gt;IF('Ayarlar'!$B$7&lt;=0,99,ROUNDUP(MAX('Proje girdileri'!AC34,ROUNDUP('Proje girdileri'!AD34/'Ayarlar'!$B$7,0))/(52/12),0)),10-8&lt;'Proje girdileri'!AH34),POWER(1-'Proje girdileri'!AT34,10-8),0)+IF(AND(9&gt;IF('Ayarlar'!$B$7&lt;=0,99,ROUNDUP(MAX('Proje girdileri'!AC34,ROUNDUP('Proje girdileri'!AD34/'Ayarlar'!$B$7,0))/(52/12),0)),10-9&lt;'Proje girdileri'!AH34),POWER(1-'Proje girdileri'!AT34,10-9),0)+IF(AND(10&gt;IF('Ayarlar'!$B$7&lt;=0,99,ROUNDUP(MAX('Proje girdileri'!AC34,ROUNDUP('Proje girdileri'!AD34/'Ayarlar'!$B$7,0))/(52/12),0)),10-10&lt;'Proje girdileri'!AH34),POWER(1-'Proje girdileri'!AT34,10-10),0)),IF(10&gt;IF('Ayarlar'!$B$7&lt;=0,99,ROUNDUP(MAX('Proje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L34" s="24" t="n">
        <x:f>IF(11&gt;'Ayarlar'!$B$6,0,IF(MAX(0,'Ayarlar'!$B$6-IF('Ayarlar'!$B$7&lt;=0,99,ROUNDUP(MAX('Proje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girdileri'!AD34/'Ayarlar'!$B$7,0))/(52/12),0)),11-1&lt;'Proje girdileri'!AH34),POWER(1-'Proje girdileri'!AT34,11-1),0)+IF(AND(2&gt;IF('Ayarlar'!$B$7&lt;=0,99,ROUNDUP(MAX('Proje girdileri'!AC34,ROUNDUP('Proje girdileri'!AD34/'Ayarlar'!$B$7,0))/(52/12),0)),11-2&lt;'Proje girdileri'!AH34),POWER(1-'Proje girdileri'!AT34,11-2),0)+IF(AND(3&gt;IF('Ayarlar'!$B$7&lt;=0,99,ROUNDUP(MAX('Proje girdileri'!AC34,ROUNDUP('Proje girdileri'!AD34/'Ayarlar'!$B$7,0))/(52/12),0)),11-3&lt;'Proje girdileri'!AH34),POWER(1-'Proje girdileri'!AT34,11-3),0)+IF(AND(4&gt;IF('Ayarlar'!$B$7&lt;=0,99,ROUNDUP(MAX('Proje girdileri'!AC34,ROUNDUP('Proje girdileri'!AD34/'Ayarlar'!$B$7,0))/(52/12),0)),11-4&lt;'Proje girdileri'!AH34),POWER(1-'Proje girdileri'!AT34,11-4),0)+IF(AND(5&gt;IF('Ayarlar'!$B$7&lt;=0,99,ROUNDUP(MAX('Proje girdileri'!AC34,ROUNDUP('Proje girdileri'!AD34/'Ayarlar'!$B$7,0))/(52/12),0)),11-5&lt;'Proje girdileri'!AH34),POWER(1-'Proje girdileri'!AT34,11-5),0)+IF(AND(6&gt;IF('Ayarlar'!$B$7&lt;=0,99,ROUNDUP(MAX('Proje girdileri'!AC34,ROUNDUP('Proje girdileri'!AD34/'Ayarlar'!$B$7,0))/(52/12),0)),11-6&lt;'Proje girdileri'!AH34),POWER(1-'Proje girdileri'!AT34,11-6),0)+IF(AND(7&gt;IF('Ayarlar'!$B$7&lt;=0,99,ROUNDUP(MAX('Proje girdileri'!AC34,ROUNDUP('Proje girdileri'!AD34/'Ayarlar'!$B$7,0))/(52/12),0)),11-7&lt;'Proje girdileri'!AH34),POWER(1-'Proje girdileri'!AT34,11-7),0)+IF(AND(8&gt;IF('Ayarlar'!$B$7&lt;=0,99,ROUNDUP(MAX('Proje girdileri'!AC34,ROUNDUP('Proje girdileri'!AD34/'Ayarlar'!$B$7,0))/(52/12),0)),11-8&lt;'Proje girdileri'!AH34),POWER(1-'Proje girdileri'!AT34,11-8),0)+IF(AND(9&gt;IF('Ayarlar'!$B$7&lt;=0,99,ROUNDUP(MAX('Proje girdileri'!AC34,ROUNDUP('Proje girdileri'!AD34/'Ayarlar'!$B$7,0))/(52/12),0)),11-9&lt;'Proje girdileri'!AH34),POWER(1-'Proje girdileri'!AT34,11-9),0)+IF(AND(10&gt;IF('Ayarlar'!$B$7&lt;=0,99,ROUNDUP(MAX('Proje girdileri'!AC34,ROUNDUP('Proje girdileri'!AD34/'Ayarlar'!$B$7,0))/(52/12),0)),11-10&lt;'Proje girdileri'!AH34),POWER(1-'Proje girdileri'!AT34,11-10),0)+IF(AND(11&gt;IF('Ayarlar'!$B$7&lt;=0,99,ROUNDUP(MAX('Proje girdileri'!AC34,ROUNDUP('Proje girdileri'!AD34/'Ayarlar'!$B$7,0))/(52/12),0)),11-11&lt;'Proje girdileri'!AH34),POWER(1-'Proje girdileri'!AT34,11-11),0)),IF(11&gt;IF('Ayarlar'!$B$7&lt;=0,99,ROUNDUP(MAX('Proje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M34" s="24" t="n">
        <x:f>IF(12&gt;'Ayarlar'!$B$6,0,IF(MAX(0,'Ayarlar'!$B$6-IF('Ayarlar'!$B$7&lt;=0,99,ROUNDUP(MAX('Proje girdileri'!AC34,ROUNDUP('Proje girdileri'!AD34/'Ayarlar'!$B$7,0))/(52/12),0)))=0,0,'Hesap'!I34/MAX(0,'Ayarlar'!$B$6-IF('Ayarlar'!$B$7&lt;=0,99,ROUNDUP(MAX('Proje girdileri'!AC34,ROUNDUP('Proje girdileri'!AD34/'Ayarlar'!$B$7,0))/(52/12),0)))*IF('Proje girdileri'!C34="recurring",(IF(AND(1&gt;IF('Ayarlar'!$B$7&lt;=0,99,ROUNDUP(MAX('Proje girdileri'!AC34,ROUNDUP('Proje girdileri'!AD34/'Ayarlar'!$B$7,0))/(52/12),0)),12-1&lt;'Proje girdileri'!AH34),POWER(1-'Proje girdileri'!AT34,12-1),0)+IF(AND(2&gt;IF('Ayarlar'!$B$7&lt;=0,99,ROUNDUP(MAX('Proje girdileri'!AC34,ROUNDUP('Proje girdileri'!AD34/'Ayarlar'!$B$7,0))/(52/12),0)),12-2&lt;'Proje girdileri'!AH34),POWER(1-'Proje girdileri'!AT34,12-2),0)+IF(AND(3&gt;IF('Ayarlar'!$B$7&lt;=0,99,ROUNDUP(MAX('Proje girdileri'!AC34,ROUNDUP('Proje girdileri'!AD34/'Ayarlar'!$B$7,0))/(52/12),0)),12-3&lt;'Proje girdileri'!AH34),POWER(1-'Proje girdileri'!AT34,12-3),0)+IF(AND(4&gt;IF('Ayarlar'!$B$7&lt;=0,99,ROUNDUP(MAX('Proje girdileri'!AC34,ROUNDUP('Proje girdileri'!AD34/'Ayarlar'!$B$7,0))/(52/12),0)),12-4&lt;'Proje girdileri'!AH34),POWER(1-'Proje girdileri'!AT34,12-4),0)+IF(AND(5&gt;IF('Ayarlar'!$B$7&lt;=0,99,ROUNDUP(MAX('Proje girdileri'!AC34,ROUNDUP('Proje girdileri'!AD34/'Ayarlar'!$B$7,0))/(52/12),0)),12-5&lt;'Proje girdileri'!AH34),POWER(1-'Proje girdileri'!AT34,12-5),0)+IF(AND(6&gt;IF('Ayarlar'!$B$7&lt;=0,99,ROUNDUP(MAX('Proje girdileri'!AC34,ROUNDUP('Proje girdileri'!AD34/'Ayarlar'!$B$7,0))/(52/12),0)),12-6&lt;'Proje girdileri'!AH34),POWER(1-'Proje girdileri'!AT34,12-6),0)+IF(AND(7&gt;IF('Ayarlar'!$B$7&lt;=0,99,ROUNDUP(MAX('Proje girdileri'!AC34,ROUNDUP('Proje girdileri'!AD34/'Ayarlar'!$B$7,0))/(52/12),0)),12-7&lt;'Proje girdileri'!AH34),POWER(1-'Proje girdileri'!AT34,12-7),0)+IF(AND(8&gt;IF('Ayarlar'!$B$7&lt;=0,99,ROUNDUP(MAX('Proje girdileri'!AC34,ROUNDUP('Proje girdileri'!AD34/'Ayarlar'!$B$7,0))/(52/12),0)),12-8&lt;'Proje girdileri'!AH34),POWER(1-'Proje girdileri'!AT34,12-8),0)+IF(AND(9&gt;IF('Ayarlar'!$B$7&lt;=0,99,ROUNDUP(MAX('Proje girdileri'!AC34,ROUNDUP('Proje girdileri'!AD34/'Ayarlar'!$B$7,0))/(52/12),0)),12-9&lt;'Proje girdileri'!AH34),POWER(1-'Proje girdileri'!AT34,12-9),0)+IF(AND(10&gt;IF('Ayarlar'!$B$7&lt;=0,99,ROUNDUP(MAX('Proje girdileri'!AC34,ROUNDUP('Proje girdileri'!AD34/'Ayarlar'!$B$7,0))/(52/12),0)),12-10&lt;'Proje girdileri'!AH34),POWER(1-'Proje girdileri'!AT34,12-10),0)+IF(AND(11&gt;IF('Ayarlar'!$B$7&lt;=0,99,ROUNDUP(MAX('Proje girdileri'!AC34,ROUNDUP('Proje girdileri'!AD34/'Ayarlar'!$B$7,0))/(52/12),0)),12-11&lt;'Proje girdileri'!AH34),POWER(1-'Proje girdileri'!AT34,12-11),0)+IF(AND(12&gt;IF('Ayarlar'!$B$7&lt;=0,99,ROUNDUP(MAX('Proje girdileri'!AC34,ROUNDUP('Proje girdileri'!AD34/'Ayarlar'!$B$7,0))/(52/12),0)),12-12&lt;'Proje girdileri'!AH34),POWER(1-'Proje girdileri'!AT34,12-12),0)),IF(12&gt;IF('Ayarlar'!$B$7&lt;=0,99,ROUNDUP(MAX('Proje girdileri'!AC34,ROUNDUP('Proje girdileri'!AD34/'Ayarlar'!$B$7,0))/(52/12),0)),1,0))*('Proje girdileri'!Y34*(1-'Proje girdileri'!AA34-'Proje girdileri'!AB34)-'Proje girdileri'!Z34))-'Proje girdileri'!AJ34)</x:f>
        <x:v>0</x:v>
      </x:c>
      <x:c r="N34" s="24" t="n">
        <x:f>SUM(B34:M34)</x:f>
        <x:v>0</x:v>
      </x:c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</x:row>
    <x:row r="35" ht="24" customHeight="1">
      <x:c r="A35" s="2" t="str">
        <x:f>'Hesap'!B35</x:f>
        <x:v>Marka kısa liste</x:v>
      </x:c>
      <x:c r="B35" s="24" t="n">
        <x:f>IF(1&gt;'Ayarlar'!$B$6,0,IF(MAX(0,'Ayarlar'!$B$6-IF('Ayarlar'!$B$7&lt;=0,99,ROUNDUP(MAX('Proje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girdileri'!AD35/'Ayarlar'!$B$7,0))/(52/12),0)),1-1&lt;'Proje girdileri'!AH35),POWER(1-'Proje girdileri'!AT35,1-1),0)),IF(1&gt;IF('Ayarlar'!$B$7&lt;=0,99,ROUNDUP(MAX('Proje girdileri'!AC35,ROUNDUP('Proje girdileri'!AD35/'Ayarlar'!$B$7,0))/(52/12),0)),1,0))*('Proje girdileri'!Y35*(1-'Proje girdileri'!AA35-'Proje girdileri'!AB35)-'Proje girdileri'!Z35))-'Proje girdileri'!AJ35-'Proje girdileri'!AI35)</x:f>
        <x:v>-83</x:v>
      </x:c>
      <x:c r="C35" s="24" t="n">
        <x:f>IF(2&gt;'Ayarlar'!$B$6,0,IF(MAX(0,'Ayarlar'!$B$6-IF('Ayarlar'!$B$7&lt;=0,99,ROUNDUP(MAX('Proje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girdileri'!AD35/'Ayarlar'!$B$7,0))/(52/12),0)),2-1&lt;'Proje girdileri'!AH35),POWER(1-'Proje girdileri'!AT35,2-1),0)+IF(AND(2&gt;IF('Ayarlar'!$B$7&lt;=0,99,ROUNDUP(MAX('Proje girdileri'!AC35,ROUNDUP('Proje girdileri'!AD35/'Ayarlar'!$B$7,0))/(52/12),0)),2-2&lt;'Proje girdileri'!AH35),POWER(1-'Proje girdileri'!AT35,2-2),0)),IF(2&gt;IF('Ayarlar'!$B$7&lt;=0,99,ROUNDUP(MAX('Proje girdileri'!AC35,ROUNDUP('Proje girdileri'!AD35/'Ayarlar'!$B$7,0))/(52/12),0)),1,0))*('Proje girdileri'!Y35*(1-'Proje girdileri'!AA35-'Proje girdileri'!AB35)-'Proje girdileri'!Z35))-'Proje girdileri'!AJ35)</x:f>
        <x:v>-8</x:v>
      </x:c>
      <x:c r="D35" s="24" t="n">
        <x:f>IF(3&gt;'Ayarlar'!$B$6,0,IF(MAX(0,'Ayarlar'!$B$6-IF('Ayarlar'!$B$7&lt;=0,99,ROUNDUP(MAX('Proje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girdileri'!AD35/'Ayarlar'!$B$7,0))/(52/12),0)),3-1&lt;'Proje girdileri'!AH35),POWER(1-'Proje girdileri'!AT35,3-1),0)+IF(AND(2&gt;IF('Ayarlar'!$B$7&lt;=0,99,ROUNDUP(MAX('Proje girdileri'!AC35,ROUNDUP('Proje girdileri'!AD35/'Ayarlar'!$B$7,0))/(52/12),0)),3-2&lt;'Proje girdileri'!AH35),POWER(1-'Proje girdileri'!AT35,3-2),0)+IF(AND(3&gt;IF('Ayarlar'!$B$7&lt;=0,99,ROUNDUP(MAX('Proje girdileri'!AC35,ROUNDUP('Proje girdileri'!AD35/'Ayarlar'!$B$7,0))/(52/12),0)),3-3&lt;'Proje girdileri'!AH35),POWER(1-'Proje girdileri'!AT35,3-3),0)),IF(3&gt;IF('Ayarlar'!$B$7&lt;=0,99,ROUNDUP(MAX('Proje girdileri'!AC35,ROUNDUP('Proje girdileri'!AD35/'Ayarlar'!$B$7,0))/(52/12),0)),1,0))*('Proje girdileri'!Y35*(1-'Proje girdileri'!AA35-'Proje girdileri'!AB35)-'Proje girdileri'!Z35))-'Proje girdileri'!AJ35)</x:f>
        <x:v>116.12499999999997</x:v>
      </x:c>
      <x:c r="E35" s="24" t="n">
        <x:f>IF(4&gt;'Ayarlar'!$B$6,0,IF(MAX(0,'Ayarlar'!$B$6-IF('Ayarlar'!$B$7&lt;=0,99,ROUNDUP(MAX('Proje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girdileri'!AD35/'Ayarlar'!$B$7,0))/(52/12),0)),4-1&lt;'Proje girdileri'!AH35),POWER(1-'Proje girdileri'!AT35,4-1),0)+IF(AND(2&gt;IF('Ayarlar'!$B$7&lt;=0,99,ROUNDUP(MAX('Proje girdileri'!AC35,ROUNDUP('Proje girdileri'!AD35/'Ayarlar'!$B$7,0))/(52/12),0)),4-2&lt;'Proje girdileri'!AH35),POWER(1-'Proje girdileri'!AT35,4-2),0)+IF(AND(3&gt;IF('Ayarlar'!$B$7&lt;=0,99,ROUNDUP(MAX('Proje girdileri'!AC35,ROUNDUP('Proje girdileri'!AD35/'Ayarlar'!$B$7,0))/(52/12),0)),4-3&lt;'Proje girdileri'!AH35),POWER(1-'Proje girdileri'!AT35,4-3),0)+IF(AND(4&gt;IF('Ayarlar'!$B$7&lt;=0,99,ROUNDUP(MAX('Proje girdileri'!AC35,ROUNDUP('Proje girdileri'!AD35/'Ayarlar'!$B$7,0))/(52/12),0)),4-4&lt;'Proje girdileri'!AH35),POWER(1-'Proje girdileri'!AT35,4-4),0)),IF(4&gt;IF('Ayarlar'!$B$7&lt;=0,99,ROUNDUP(MAX('Proje girdileri'!AC35,ROUNDUP('Proje girdileri'!AD35/'Ayarlar'!$B$7,0))/(52/12),0)),1,0))*('Proje girdileri'!Y35*(1-'Proje girdileri'!AA35-'Proje girdileri'!AB35)-'Proje girdileri'!Z35))-'Proje girdileri'!AJ35)</x:f>
        <x:v>116.12499999999997</x:v>
      </x:c>
      <x:c r="F35" s="24" t="n">
        <x:f>IF(5&gt;'Ayarlar'!$B$6,0,IF(MAX(0,'Ayarlar'!$B$6-IF('Ayarlar'!$B$7&lt;=0,99,ROUNDUP(MAX('Proje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girdileri'!AD35/'Ayarlar'!$B$7,0))/(52/12),0)),5-1&lt;'Proje girdileri'!AH35),POWER(1-'Proje girdileri'!AT35,5-1),0)+IF(AND(2&gt;IF('Ayarlar'!$B$7&lt;=0,99,ROUNDUP(MAX('Proje girdileri'!AC35,ROUNDUP('Proje girdileri'!AD35/'Ayarlar'!$B$7,0))/(52/12),0)),5-2&lt;'Proje girdileri'!AH35),POWER(1-'Proje girdileri'!AT35,5-2),0)+IF(AND(3&gt;IF('Ayarlar'!$B$7&lt;=0,99,ROUNDUP(MAX('Proje girdileri'!AC35,ROUNDUP('Proje girdileri'!AD35/'Ayarlar'!$B$7,0))/(52/12),0)),5-3&lt;'Proje girdileri'!AH35),POWER(1-'Proje girdileri'!AT35,5-3),0)+IF(AND(4&gt;IF('Ayarlar'!$B$7&lt;=0,99,ROUNDUP(MAX('Proje girdileri'!AC35,ROUNDUP('Proje girdileri'!AD35/'Ayarlar'!$B$7,0))/(52/12),0)),5-4&lt;'Proje girdileri'!AH35),POWER(1-'Proje girdileri'!AT35,5-4),0)+IF(AND(5&gt;IF('Ayarlar'!$B$7&lt;=0,99,ROUNDUP(MAX('Proje girdileri'!AC35,ROUNDUP('Proje girdileri'!AD35/'Ayarlar'!$B$7,0))/(52/12),0)),5-5&lt;'Proje girdileri'!AH35),POWER(1-'Proje girdileri'!AT35,5-5),0)),IF(5&gt;IF('Ayarlar'!$B$7&lt;=0,99,ROUNDUP(MAX('Proje girdileri'!AC35,ROUNDUP('Proje girdileri'!AD35/'Ayarlar'!$B$7,0))/(52/12),0)),1,0))*('Proje girdileri'!Y35*(1-'Proje girdileri'!AA35-'Proje girdileri'!AB35)-'Proje girdileri'!Z35))-'Proje girdileri'!AJ35)</x:f>
        <x:v>116.12499999999997</x:v>
      </x:c>
      <x:c r="G35" s="24" t="n">
        <x:f>IF(6&gt;'Ayarlar'!$B$6,0,IF(MAX(0,'Ayarlar'!$B$6-IF('Ayarlar'!$B$7&lt;=0,99,ROUNDUP(MAX('Proje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girdileri'!AD35/'Ayarlar'!$B$7,0))/(52/12),0)),6-1&lt;'Proje girdileri'!AH35),POWER(1-'Proje girdileri'!AT35,6-1),0)+IF(AND(2&gt;IF('Ayarlar'!$B$7&lt;=0,99,ROUNDUP(MAX('Proje girdileri'!AC35,ROUNDUP('Proje girdileri'!AD35/'Ayarlar'!$B$7,0))/(52/12),0)),6-2&lt;'Proje girdileri'!AH35),POWER(1-'Proje girdileri'!AT35,6-2),0)+IF(AND(3&gt;IF('Ayarlar'!$B$7&lt;=0,99,ROUNDUP(MAX('Proje girdileri'!AC35,ROUNDUP('Proje girdileri'!AD35/'Ayarlar'!$B$7,0))/(52/12),0)),6-3&lt;'Proje girdileri'!AH35),POWER(1-'Proje girdileri'!AT35,6-3),0)+IF(AND(4&gt;IF('Ayarlar'!$B$7&lt;=0,99,ROUNDUP(MAX('Proje girdileri'!AC35,ROUNDUP('Proje girdileri'!AD35/'Ayarlar'!$B$7,0))/(52/12),0)),6-4&lt;'Proje girdileri'!AH35),POWER(1-'Proje girdileri'!AT35,6-4),0)+IF(AND(5&gt;IF('Ayarlar'!$B$7&lt;=0,99,ROUNDUP(MAX('Proje girdileri'!AC35,ROUNDUP('Proje girdileri'!AD35/'Ayarlar'!$B$7,0))/(52/12),0)),6-5&lt;'Proje girdileri'!AH35),POWER(1-'Proje girdileri'!AT35,6-5),0)+IF(AND(6&gt;IF('Ayarlar'!$B$7&lt;=0,99,ROUNDUP(MAX('Proje girdileri'!AC35,ROUNDUP('Proje girdileri'!AD35/'Ayarlar'!$B$7,0))/(52/12),0)),6-6&lt;'Proje girdileri'!AH35),POWER(1-'Proje girdileri'!AT35,6-6),0)),IF(6&gt;IF('Ayarlar'!$B$7&lt;=0,99,ROUNDUP(MAX('Proje girdileri'!AC35,ROUNDUP('Proje girdileri'!AD35/'Ayarlar'!$B$7,0))/(52/12),0)),1,0))*('Proje girdileri'!Y35*(1-'Proje girdileri'!AA35-'Proje girdileri'!AB35)-'Proje girdileri'!Z35))-'Proje girdileri'!AJ35)</x:f>
        <x:v>116.12499999999997</x:v>
      </x:c>
      <x:c r="H35" s="24" t="n">
        <x:f>IF(7&gt;'Ayarlar'!$B$6,0,IF(MAX(0,'Ayarlar'!$B$6-IF('Ayarlar'!$B$7&lt;=0,99,ROUNDUP(MAX('Proje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girdileri'!AD35/'Ayarlar'!$B$7,0))/(52/12),0)),7-1&lt;'Proje girdileri'!AH35),POWER(1-'Proje girdileri'!AT35,7-1),0)+IF(AND(2&gt;IF('Ayarlar'!$B$7&lt;=0,99,ROUNDUP(MAX('Proje girdileri'!AC35,ROUNDUP('Proje girdileri'!AD35/'Ayarlar'!$B$7,0))/(52/12),0)),7-2&lt;'Proje girdileri'!AH35),POWER(1-'Proje girdileri'!AT35,7-2),0)+IF(AND(3&gt;IF('Ayarlar'!$B$7&lt;=0,99,ROUNDUP(MAX('Proje girdileri'!AC35,ROUNDUP('Proje girdileri'!AD35/'Ayarlar'!$B$7,0))/(52/12),0)),7-3&lt;'Proje girdileri'!AH35),POWER(1-'Proje girdileri'!AT35,7-3),0)+IF(AND(4&gt;IF('Ayarlar'!$B$7&lt;=0,99,ROUNDUP(MAX('Proje girdileri'!AC35,ROUNDUP('Proje girdileri'!AD35/'Ayarlar'!$B$7,0))/(52/12),0)),7-4&lt;'Proje girdileri'!AH35),POWER(1-'Proje girdileri'!AT35,7-4),0)+IF(AND(5&gt;IF('Ayarlar'!$B$7&lt;=0,99,ROUNDUP(MAX('Proje girdileri'!AC35,ROUNDUP('Proje girdileri'!AD35/'Ayarlar'!$B$7,0))/(52/12),0)),7-5&lt;'Proje girdileri'!AH35),POWER(1-'Proje girdileri'!AT35,7-5),0)+IF(AND(6&gt;IF('Ayarlar'!$B$7&lt;=0,99,ROUNDUP(MAX('Proje girdileri'!AC35,ROUNDUP('Proje girdileri'!AD35/'Ayarlar'!$B$7,0))/(52/12),0)),7-6&lt;'Proje girdileri'!AH35),POWER(1-'Proje girdileri'!AT35,7-6),0)+IF(AND(7&gt;IF('Ayarlar'!$B$7&lt;=0,99,ROUNDUP(MAX('Proje girdileri'!AC35,ROUNDUP('Proje girdileri'!AD35/'Ayarlar'!$B$7,0))/(52/12),0)),7-7&lt;'Proje girdileri'!AH35),POWER(1-'Proje girdileri'!AT35,7-7),0)),IF(7&gt;IF('Ayarlar'!$B$7&lt;=0,99,ROUNDUP(MAX('Proje girdileri'!AC35,ROUNDUP('Proje girdileri'!AD35/'Ayarlar'!$B$7,0))/(52/12),0)),1,0))*('Proje girdileri'!Y35*(1-'Proje girdileri'!AA35-'Proje girdileri'!AB35)-'Proje girdileri'!Z35))-'Proje girdileri'!AJ35)</x:f>
        <x:v>0</x:v>
      </x:c>
      <x:c r="I35" s="24" t="n">
        <x:f>IF(8&gt;'Ayarlar'!$B$6,0,IF(MAX(0,'Ayarlar'!$B$6-IF('Ayarlar'!$B$7&lt;=0,99,ROUNDUP(MAX('Proje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girdileri'!AD35/'Ayarlar'!$B$7,0))/(52/12),0)),8-1&lt;'Proje girdileri'!AH35),POWER(1-'Proje girdileri'!AT35,8-1),0)+IF(AND(2&gt;IF('Ayarlar'!$B$7&lt;=0,99,ROUNDUP(MAX('Proje girdileri'!AC35,ROUNDUP('Proje girdileri'!AD35/'Ayarlar'!$B$7,0))/(52/12),0)),8-2&lt;'Proje girdileri'!AH35),POWER(1-'Proje girdileri'!AT35,8-2),0)+IF(AND(3&gt;IF('Ayarlar'!$B$7&lt;=0,99,ROUNDUP(MAX('Proje girdileri'!AC35,ROUNDUP('Proje girdileri'!AD35/'Ayarlar'!$B$7,0))/(52/12),0)),8-3&lt;'Proje girdileri'!AH35),POWER(1-'Proje girdileri'!AT35,8-3),0)+IF(AND(4&gt;IF('Ayarlar'!$B$7&lt;=0,99,ROUNDUP(MAX('Proje girdileri'!AC35,ROUNDUP('Proje girdileri'!AD35/'Ayarlar'!$B$7,0))/(52/12),0)),8-4&lt;'Proje girdileri'!AH35),POWER(1-'Proje girdileri'!AT35,8-4),0)+IF(AND(5&gt;IF('Ayarlar'!$B$7&lt;=0,99,ROUNDUP(MAX('Proje girdileri'!AC35,ROUNDUP('Proje girdileri'!AD35/'Ayarlar'!$B$7,0))/(52/12),0)),8-5&lt;'Proje girdileri'!AH35),POWER(1-'Proje girdileri'!AT35,8-5),0)+IF(AND(6&gt;IF('Ayarlar'!$B$7&lt;=0,99,ROUNDUP(MAX('Proje girdileri'!AC35,ROUNDUP('Proje girdileri'!AD35/'Ayarlar'!$B$7,0))/(52/12),0)),8-6&lt;'Proje girdileri'!AH35),POWER(1-'Proje girdileri'!AT35,8-6),0)+IF(AND(7&gt;IF('Ayarlar'!$B$7&lt;=0,99,ROUNDUP(MAX('Proje girdileri'!AC35,ROUNDUP('Proje girdileri'!AD35/'Ayarlar'!$B$7,0))/(52/12),0)),8-7&lt;'Proje girdileri'!AH35),POWER(1-'Proje girdileri'!AT35,8-7),0)+IF(AND(8&gt;IF('Ayarlar'!$B$7&lt;=0,99,ROUNDUP(MAX('Proje girdileri'!AC35,ROUNDUP('Proje girdileri'!AD35/'Ayarlar'!$B$7,0))/(52/12),0)),8-8&lt;'Proje girdileri'!AH35),POWER(1-'Proje girdileri'!AT35,8-8),0)),IF(8&gt;IF('Ayarlar'!$B$7&lt;=0,99,ROUNDUP(MAX('Proje girdileri'!AC35,ROUNDUP('Proje girdileri'!AD35/'Ayarlar'!$B$7,0))/(52/12),0)),1,0))*('Proje girdileri'!Y35*(1-'Proje girdileri'!AA35-'Proje girdileri'!AB35)-'Proje girdileri'!Z35))-'Proje girdileri'!AJ35)</x:f>
        <x:v>0</x:v>
      </x:c>
      <x:c r="J35" s="24" t="n">
        <x:f>IF(9&gt;'Ayarlar'!$B$6,0,IF(MAX(0,'Ayarlar'!$B$6-IF('Ayarlar'!$B$7&lt;=0,99,ROUNDUP(MAX('Proje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girdileri'!AD35/'Ayarlar'!$B$7,0))/(52/12),0)),9-1&lt;'Proje girdileri'!AH35),POWER(1-'Proje girdileri'!AT35,9-1),0)+IF(AND(2&gt;IF('Ayarlar'!$B$7&lt;=0,99,ROUNDUP(MAX('Proje girdileri'!AC35,ROUNDUP('Proje girdileri'!AD35/'Ayarlar'!$B$7,0))/(52/12),0)),9-2&lt;'Proje girdileri'!AH35),POWER(1-'Proje girdileri'!AT35,9-2),0)+IF(AND(3&gt;IF('Ayarlar'!$B$7&lt;=0,99,ROUNDUP(MAX('Proje girdileri'!AC35,ROUNDUP('Proje girdileri'!AD35/'Ayarlar'!$B$7,0))/(52/12),0)),9-3&lt;'Proje girdileri'!AH35),POWER(1-'Proje girdileri'!AT35,9-3),0)+IF(AND(4&gt;IF('Ayarlar'!$B$7&lt;=0,99,ROUNDUP(MAX('Proje girdileri'!AC35,ROUNDUP('Proje girdileri'!AD35/'Ayarlar'!$B$7,0))/(52/12),0)),9-4&lt;'Proje girdileri'!AH35),POWER(1-'Proje girdileri'!AT35,9-4),0)+IF(AND(5&gt;IF('Ayarlar'!$B$7&lt;=0,99,ROUNDUP(MAX('Proje girdileri'!AC35,ROUNDUP('Proje girdileri'!AD35/'Ayarlar'!$B$7,0))/(52/12),0)),9-5&lt;'Proje girdileri'!AH35),POWER(1-'Proje girdileri'!AT35,9-5),0)+IF(AND(6&gt;IF('Ayarlar'!$B$7&lt;=0,99,ROUNDUP(MAX('Proje girdileri'!AC35,ROUNDUP('Proje girdileri'!AD35/'Ayarlar'!$B$7,0))/(52/12),0)),9-6&lt;'Proje girdileri'!AH35),POWER(1-'Proje girdileri'!AT35,9-6),0)+IF(AND(7&gt;IF('Ayarlar'!$B$7&lt;=0,99,ROUNDUP(MAX('Proje girdileri'!AC35,ROUNDUP('Proje girdileri'!AD35/'Ayarlar'!$B$7,0))/(52/12),0)),9-7&lt;'Proje girdileri'!AH35),POWER(1-'Proje girdileri'!AT35,9-7),0)+IF(AND(8&gt;IF('Ayarlar'!$B$7&lt;=0,99,ROUNDUP(MAX('Proje girdileri'!AC35,ROUNDUP('Proje girdileri'!AD35/'Ayarlar'!$B$7,0))/(52/12),0)),9-8&lt;'Proje girdileri'!AH35),POWER(1-'Proje girdileri'!AT35,9-8),0)+IF(AND(9&gt;IF('Ayarlar'!$B$7&lt;=0,99,ROUNDUP(MAX('Proje girdileri'!AC35,ROUNDUP('Proje girdileri'!AD35/'Ayarlar'!$B$7,0))/(52/12),0)),9-9&lt;'Proje girdileri'!AH35),POWER(1-'Proje girdileri'!AT35,9-9),0)),IF(9&gt;IF('Ayarlar'!$B$7&lt;=0,99,ROUNDUP(MAX('Proje girdileri'!AC35,ROUNDUP('Proje girdileri'!AD35/'Ayarlar'!$B$7,0))/(52/12),0)),1,0))*('Proje girdileri'!Y35*(1-'Proje girdileri'!AA35-'Proje girdileri'!AB35)-'Proje girdileri'!Z35))-'Proje girdileri'!AJ35)</x:f>
        <x:v>0</x:v>
      </x:c>
      <x:c r="K35" s="24" t="n">
        <x:f>IF(10&gt;'Ayarlar'!$B$6,0,IF(MAX(0,'Ayarlar'!$B$6-IF('Ayarlar'!$B$7&lt;=0,99,ROUNDUP(MAX('Proje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girdileri'!AD35/'Ayarlar'!$B$7,0))/(52/12),0)),10-1&lt;'Proje girdileri'!AH35),POWER(1-'Proje girdileri'!AT35,10-1),0)+IF(AND(2&gt;IF('Ayarlar'!$B$7&lt;=0,99,ROUNDUP(MAX('Proje girdileri'!AC35,ROUNDUP('Proje girdileri'!AD35/'Ayarlar'!$B$7,0))/(52/12),0)),10-2&lt;'Proje girdileri'!AH35),POWER(1-'Proje girdileri'!AT35,10-2),0)+IF(AND(3&gt;IF('Ayarlar'!$B$7&lt;=0,99,ROUNDUP(MAX('Proje girdileri'!AC35,ROUNDUP('Proje girdileri'!AD35/'Ayarlar'!$B$7,0))/(52/12),0)),10-3&lt;'Proje girdileri'!AH35),POWER(1-'Proje girdileri'!AT35,10-3),0)+IF(AND(4&gt;IF('Ayarlar'!$B$7&lt;=0,99,ROUNDUP(MAX('Proje girdileri'!AC35,ROUNDUP('Proje girdileri'!AD35/'Ayarlar'!$B$7,0))/(52/12),0)),10-4&lt;'Proje girdileri'!AH35),POWER(1-'Proje girdileri'!AT35,10-4),0)+IF(AND(5&gt;IF('Ayarlar'!$B$7&lt;=0,99,ROUNDUP(MAX('Proje girdileri'!AC35,ROUNDUP('Proje girdileri'!AD35/'Ayarlar'!$B$7,0))/(52/12),0)),10-5&lt;'Proje girdileri'!AH35),POWER(1-'Proje girdileri'!AT35,10-5),0)+IF(AND(6&gt;IF('Ayarlar'!$B$7&lt;=0,99,ROUNDUP(MAX('Proje girdileri'!AC35,ROUNDUP('Proje girdileri'!AD35/'Ayarlar'!$B$7,0))/(52/12),0)),10-6&lt;'Proje girdileri'!AH35),POWER(1-'Proje girdileri'!AT35,10-6),0)+IF(AND(7&gt;IF('Ayarlar'!$B$7&lt;=0,99,ROUNDUP(MAX('Proje girdileri'!AC35,ROUNDUP('Proje girdileri'!AD35/'Ayarlar'!$B$7,0))/(52/12),0)),10-7&lt;'Proje girdileri'!AH35),POWER(1-'Proje girdileri'!AT35,10-7),0)+IF(AND(8&gt;IF('Ayarlar'!$B$7&lt;=0,99,ROUNDUP(MAX('Proje girdileri'!AC35,ROUNDUP('Proje girdileri'!AD35/'Ayarlar'!$B$7,0))/(52/12),0)),10-8&lt;'Proje girdileri'!AH35),POWER(1-'Proje girdileri'!AT35,10-8),0)+IF(AND(9&gt;IF('Ayarlar'!$B$7&lt;=0,99,ROUNDUP(MAX('Proje girdileri'!AC35,ROUNDUP('Proje girdileri'!AD35/'Ayarlar'!$B$7,0))/(52/12),0)),10-9&lt;'Proje girdileri'!AH35),POWER(1-'Proje girdileri'!AT35,10-9),0)+IF(AND(10&gt;IF('Ayarlar'!$B$7&lt;=0,99,ROUNDUP(MAX('Proje girdileri'!AC35,ROUNDUP('Proje girdileri'!AD35/'Ayarlar'!$B$7,0))/(52/12),0)),10-10&lt;'Proje girdileri'!AH35),POWER(1-'Proje girdileri'!AT35,10-10),0)),IF(10&gt;IF('Ayarlar'!$B$7&lt;=0,99,ROUNDUP(MAX('Proje girdileri'!AC35,ROUNDUP('Proje girdileri'!AD35/'Ayarlar'!$B$7,0))/(52/12),0)),1,0))*('Proje girdileri'!Y35*(1-'Proje girdileri'!AA35-'Proje girdileri'!AB35)-'Proje girdileri'!Z35))-'Proje girdileri'!AJ35)</x:f>
        <x:v>0</x:v>
      </x:c>
      <x:c r="L35" s="24" t="n">
        <x:f>IF(11&gt;'Ayarlar'!$B$6,0,IF(MAX(0,'Ayarlar'!$B$6-IF('Ayarlar'!$B$7&lt;=0,99,ROUNDUP(MAX('Proje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girdileri'!AD35/'Ayarlar'!$B$7,0))/(52/12),0)),11-1&lt;'Proje girdileri'!AH35),POWER(1-'Proje girdileri'!AT35,11-1),0)+IF(AND(2&gt;IF('Ayarlar'!$B$7&lt;=0,99,ROUNDUP(MAX('Proje girdileri'!AC35,ROUNDUP('Proje girdileri'!AD35/'Ayarlar'!$B$7,0))/(52/12),0)),11-2&lt;'Proje girdileri'!AH35),POWER(1-'Proje girdileri'!AT35,11-2),0)+IF(AND(3&gt;IF('Ayarlar'!$B$7&lt;=0,99,ROUNDUP(MAX('Proje girdileri'!AC35,ROUNDUP('Proje girdileri'!AD35/'Ayarlar'!$B$7,0))/(52/12),0)),11-3&lt;'Proje girdileri'!AH35),POWER(1-'Proje girdileri'!AT35,11-3),0)+IF(AND(4&gt;IF('Ayarlar'!$B$7&lt;=0,99,ROUNDUP(MAX('Proje girdileri'!AC35,ROUNDUP('Proje girdileri'!AD35/'Ayarlar'!$B$7,0))/(52/12),0)),11-4&lt;'Proje girdileri'!AH35),POWER(1-'Proje girdileri'!AT35,11-4),0)+IF(AND(5&gt;IF('Ayarlar'!$B$7&lt;=0,99,ROUNDUP(MAX('Proje girdileri'!AC35,ROUNDUP('Proje girdileri'!AD35/'Ayarlar'!$B$7,0))/(52/12),0)),11-5&lt;'Proje girdileri'!AH35),POWER(1-'Proje girdileri'!AT35,11-5),0)+IF(AND(6&gt;IF('Ayarlar'!$B$7&lt;=0,99,ROUNDUP(MAX('Proje girdileri'!AC35,ROUNDUP('Proje girdileri'!AD35/'Ayarlar'!$B$7,0))/(52/12),0)),11-6&lt;'Proje girdileri'!AH35),POWER(1-'Proje girdileri'!AT35,11-6),0)+IF(AND(7&gt;IF('Ayarlar'!$B$7&lt;=0,99,ROUNDUP(MAX('Proje girdileri'!AC35,ROUNDUP('Proje girdileri'!AD35/'Ayarlar'!$B$7,0))/(52/12),0)),11-7&lt;'Proje girdileri'!AH35),POWER(1-'Proje girdileri'!AT35,11-7),0)+IF(AND(8&gt;IF('Ayarlar'!$B$7&lt;=0,99,ROUNDUP(MAX('Proje girdileri'!AC35,ROUNDUP('Proje girdileri'!AD35/'Ayarlar'!$B$7,0))/(52/12),0)),11-8&lt;'Proje girdileri'!AH35),POWER(1-'Proje girdileri'!AT35,11-8),0)+IF(AND(9&gt;IF('Ayarlar'!$B$7&lt;=0,99,ROUNDUP(MAX('Proje girdileri'!AC35,ROUNDUP('Proje girdileri'!AD35/'Ayarlar'!$B$7,0))/(52/12),0)),11-9&lt;'Proje girdileri'!AH35),POWER(1-'Proje girdileri'!AT35,11-9),0)+IF(AND(10&gt;IF('Ayarlar'!$B$7&lt;=0,99,ROUNDUP(MAX('Proje girdileri'!AC35,ROUNDUP('Proje girdileri'!AD35/'Ayarlar'!$B$7,0))/(52/12),0)),11-10&lt;'Proje girdileri'!AH35),POWER(1-'Proje girdileri'!AT35,11-10),0)+IF(AND(11&gt;IF('Ayarlar'!$B$7&lt;=0,99,ROUNDUP(MAX('Proje girdileri'!AC35,ROUNDUP('Proje girdileri'!AD35/'Ayarlar'!$B$7,0))/(52/12),0)),11-11&lt;'Proje girdileri'!AH35),POWER(1-'Proje girdileri'!AT35,11-11),0)),IF(11&gt;IF('Ayarlar'!$B$7&lt;=0,99,ROUNDUP(MAX('Proje girdileri'!AC35,ROUNDUP('Proje girdileri'!AD35/'Ayarlar'!$B$7,0))/(52/12),0)),1,0))*('Proje girdileri'!Y35*(1-'Proje girdileri'!AA35-'Proje girdileri'!AB35)-'Proje girdileri'!Z35))-'Proje girdileri'!AJ35)</x:f>
        <x:v>0</x:v>
      </x:c>
      <x:c r="M35" s="24" t="n">
        <x:f>IF(12&gt;'Ayarlar'!$B$6,0,IF(MAX(0,'Ayarlar'!$B$6-IF('Ayarlar'!$B$7&lt;=0,99,ROUNDUP(MAX('Proje girdileri'!AC35,ROUNDUP('Proje girdileri'!AD35/'Ayarlar'!$B$7,0))/(52/12),0)))=0,0,'Hesap'!I35/MAX(0,'Ayarlar'!$B$6-IF('Ayarlar'!$B$7&lt;=0,99,ROUNDUP(MAX('Proje girdileri'!AC35,ROUNDUP('Proje girdileri'!AD35/'Ayarlar'!$B$7,0))/(52/12),0)))*IF('Proje girdileri'!C35="recurring",(IF(AND(1&gt;IF('Ayarlar'!$B$7&lt;=0,99,ROUNDUP(MAX('Proje girdileri'!AC35,ROUNDUP('Proje girdileri'!AD35/'Ayarlar'!$B$7,0))/(52/12),0)),12-1&lt;'Proje girdileri'!AH35),POWER(1-'Proje girdileri'!AT35,12-1),0)+IF(AND(2&gt;IF('Ayarlar'!$B$7&lt;=0,99,ROUNDUP(MAX('Proje girdileri'!AC35,ROUNDUP('Proje girdileri'!AD35/'Ayarlar'!$B$7,0))/(52/12),0)),12-2&lt;'Proje girdileri'!AH35),POWER(1-'Proje girdileri'!AT35,12-2),0)+IF(AND(3&gt;IF('Ayarlar'!$B$7&lt;=0,99,ROUNDUP(MAX('Proje girdileri'!AC35,ROUNDUP('Proje girdileri'!AD35/'Ayarlar'!$B$7,0))/(52/12),0)),12-3&lt;'Proje girdileri'!AH35),POWER(1-'Proje girdileri'!AT35,12-3),0)+IF(AND(4&gt;IF('Ayarlar'!$B$7&lt;=0,99,ROUNDUP(MAX('Proje girdileri'!AC35,ROUNDUP('Proje girdileri'!AD35/'Ayarlar'!$B$7,0))/(52/12),0)),12-4&lt;'Proje girdileri'!AH35),POWER(1-'Proje girdileri'!AT35,12-4),0)+IF(AND(5&gt;IF('Ayarlar'!$B$7&lt;=0,99,ROUNDUP(MAX('Proje girdileri'!AC35,ROUNDUP('Proje girdileri'!AD35/'Ayarlar'!$B$7,0))/(52/12),0)),12-5&lt;'Proje girdileri'!AH35),POWER(1-'Proje girdileri'!AT35,12-5),0)+IF(AND(6&gt;IF('Ayarlar'!$B$7&lt;=0,99,ROUNDUP(MAX('Proje girdileri'!AC35,ROUNDUP('Proje girdileri'!AD35/'Ayarlar'!$B$7,0))/(52/12),0)),12-6&lt;'Proje girdileri'!AH35),POWER(1-'Proje girdileri'!AT35,12-6),0)+IF(AND(7&gt;IF('Ayarlar'!$B$7&lt;=0,99,ROUNDUP(MAX('Proje girdileri'!AC35,ROUNDUP('Proje girdileri'!AD35/'Ayarlar'!$B$7,0))/(52/12),0)),12-7&lt;'Proje girdileri'!AH35),POWER(1-'Proje girdileri'!AT35,12-7),0)+IF(AND(8&gt;IF('Ayarlar'!$B$7&lt;=0,99,ROUNDUP(MAX('Proje girdileri'!AC35,ROUNDUP('Proje girdileri'!AD35/'Ayarlar'!$B$7,0))/(52/12),0)),12-8&lt;'Proje girdileri'!AH35),POWER(1-'Proje girdileri'!AT35,12-8),0)+IF(AND(9&gt;IF('Ayarlar'!$B$7&lt;=0,99,ROUNDUP(MAX('Proje girdileri'!AC35,ROUNDUP('Proje girdileri'!AD35/'Ayarlar'!$B$7,0))/(52/12),0)),12-9&lt;'Proje girdileri'!AH35),POWER(1-'Proje girdileri'!AT35,12-9),0)+IF(AND(10&gt;IF('Ayarlar'!$B$7&lt;=0,99,ROUNDUP(MAX('Proje girdileri'!AC35,ROUNDUP('Proje girdileri'!AD35/'Ayarlar'!$B$7,0))/(52/12),0)),12-10&lt;'Proje girdileri'!AH35),POWER(1-'Proje girdileri'!AT35,12-10),0)+IF(AND(11&gt;IF('Ayarlar'!$B$7&lt;=0,99,ROUNDUP(MAX('Proje girdileri'!AC35,ROUNDUP('Proje girdileri'!AD35/'Ayarlar'!$B$7,0))/(52/12),0)),12-11&lt;'Proje girdileri'!AH35),POWER(1-'Proje girdileri'!AT35,12-11),0)+IF(AND(12&gt;IF('Ayarlar'!$B$7&lt;=0,99,ROUNDUP(MAX('Proje girdileri'!AC35,ROUNDUP('Proje girdileri'!AD35/'Ayarlar'!$B$7,0))/(52/12),0)),12-12&lt;'Proje girdileri'!AH35),POWER(1-'Proje girdileri'!AT35,12-12),0)),IF(12&gt;IF('Ayarlar'!$B$7&lt;=0,99,ROUNDUP(MAX('Proje girdileri'!AC35,ROUNDUP('Proje girdileri'!AD35/'Ayarlar'!$B$7,0))/(52/12),0)),1,0))*('Proje girdileri'!Y35*(1-'Proje girdileri'!AA35-'Proje girdileri'!AB35)-'Proje girdileri'!Z35))-'Proje girdileri'!AJ35)</x:f>
        <x:v>0</x:v>
      </x:c>
      <x:c r="N35" s="24" t="n">
        <x:f>SUM(B35:M35)</x:f>
        <x:v>373.4999999999999</x:v>
      </x:c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</x:row>
    <x:row r="36" ht="24" customHeight="1">
      <x:c r="A36" s="2" t="str">
        <x:f>'Hesap'!B36</x:f>
        <x:v>Projector içerik</x:v>
      </x:c>
      <x:c r="B36" s="24" t="n">
        <x:f>IF(1&gt;'Ayarlar'!$B$6,0,IF(MAX(0,'Ayarlar'!$B$6-IF('Ayarlar'!$B$7&lt;=0,99,ROUNDUP(MAX('Proje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girdileri'!AD36/'Ayarlar'!$B$7,0))/(52/12),0)),1-1&lt;'Proje girdileri'!AH36),POWER(1-'Proje girdileri'!AT36,1-1),0)),IF(1&gt;IF('Ayarlar'!$B$7&lt;=0,99,ROUNDUP(MAX('Proje girdileri'!AC36,ROUNDUP('Proje girdileri'!AD36/'Ayarlar'!$B$7,0))/(52/12),0)),1,0))*('Proje girdileri'!Y36*(1-'Proje girdileri'!AA36-'Proje girdileri'!AB36)-'Proje girdileri'!Z36))-'Proje girdileri'!AJ36-'Proje girdileri'!AI36)</x:f>
        <x:v>-83</x:v>
      </x:c>
      <x:c r="C36" s="24" t="n">
        <x:f>IF(2&gt;'Ayarlar'!$B$6,0,IF(MAX(0,'Ayarlar'!$B$6-IF('Ayarlar'!$B$7&lt;=0,99,ROUNDUP(MAX('Proje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girdileri'!AD36/'Ayarlar'!$B$7,0))/(52/12),0)),2-1&lt;'Proje girdileri'!AH36),POWER(1-'Proje girdileri'!AT36,2-1),0)+IF(AND(2&gt;IF('Ayarlar'!$B$7&lt;=0,99,ROUNDUP(MAX('Proje girdileri'!AC36,ROUNDUP('Proje girdileri'!AD36/'Ayarlar'!$B$7,0))/(52/12),0)),2-2&lt;'Proje girdileri'!AH36),POWER(1-'Proje girdileri'!AT36,2-2),0)),IF(2&gt;IF('Ayarlar'!$B$7&lt;=0,99,ROUNDUP(MAX('Proje girdileri'!AC36,ROUNDUP('Proje girdileri'!AD36/'Ayarlar'!$B$7,0))/(52/12),0)),1,0))*('Proje girdileri'!Y36*(1-'Proje girdileri'!AA36-'Proje girdileri'!AB36)-'Proje girdileri'!Z36))-'Proje girdileri'!AJ36)</x:f>
        <x:v>-8</x:v>
      </x:c>
      <x:c r="D36" s="24" t="n">
        <x:f>IF(3&gt;'Ayarlar'!$B$6,0,IF(MAX(0,'Ayarlar'!$B$6-IF('Ayarlar'!$B$7&lt;=0,99,ROUNDUP(MAX('Proje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girdileri'!AD36/'Ayarlar'!$B$7,0))/(52/12),0)),3-1&lt;'Proje girdileri'!AH36),POWER(1-'Proje girdileri'!AT36,3-1),0)+IF(AND(2&gt;IF('Ayarlar'!$B$7&lt;=0,99,ROUNDUP(MAX('Proje girdileri'!AC36,ROUNDUP('Proje girdileri'!AD36/'Ayarlar'!$B$7,0))/(52/12),0)),3-2&lt;'Proje girdileri'!AH36),POWER(1-'Proje girdileri'!AT36,3-2),0)+IF(AND(3&gt;IF('Ayarlar'!$B$7&lt;=0,99,ROUNDUP(MAX('Proje girdileri'!AC36,ROUNDUP('Proje girdileri'!AD36/'Ayarlar'!$B$7,0))/(52/12),0)),3-3&lt;'Proje girdileri'!AH36),POWER(1-'Proje girdileri'!AT36,3-3),0)),IF(3&gt;IF('Ayarlar'!$B$7&lt;=0,99,ROUNDUP(MAX('Proje girdileri'!AC36,ROUNDUP('Proje girdileri'!AD36/'Ayarlar'!$B$7,0))/(52/12),0)),1,0))*('Proje girdileri'!Y36*(1-'Proje girdileri'!AA36-'Proje girdileri'!AB36)-'Proje girdileri'!Z36))-'Proje girdileri'!AJ36)</x:f>
        <x:v>591.9999999999999</x:v>
      </x:c>
      <x:c r="E36" s="24" t="n">
        <x:f>IF(4&gt;'Ayarlar'!$B$6,0,IF(MAX(0,'Ayarlar'!$B$6-IF('Ayarlar'!$B$7&lt;=0,99,ROUNDUP(MAX('Proje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girdileri'!AD36/'Ayarlar'!$B$7,0))/(52/12),0)),4-1&lt;'Proje girdileri'!AH36),POWER(1-'Proje girdileri'!AT36,4-1),0)+IF(AND(2&gt;IF('Ayarlar'!$B$7&lt;=0,99,ROUNDUP(MAX('Proje girdileri'!AC36,ROUNDUP('Proje girdileri'!AD36/'Ayarlar'!$B$7,0))/(52/12),0)),4-2&lt;'Proje girdileri'!AH36),POWER(1-'Proje girdileri'!AT36,4-2),0)+IF(AND(3&gt;IF('Ayarlar'!$B$7&lt;=0,99,ROUNDUP(MAX('Proje girdileri'!AC36,ROUNDUP('Proje girdileri'!AD36/'Ayarlar'!$B$7,0))/(52/12),0)),4-3&lt;'Proje girdileri'!AH36),POWER(1-'Proje girdileri'!AT36,4-3),0)+IF(AND(4&gt;IF('Ayarlar'!$B$7&lt;=0,99,ROUNDUP(MAX('Proje girdileri'!AC36,ROUNDUP('Proje girdileri'!AD36/'Ayarlar'!$B$7,0))/(52/12),0)),4-4&lt;'Proje girdileri'!AH36),POWER(1-'Proje girdileri'!AT36,4-4),0)),IF(4&gt;IF('Ayarlar'!$B$7&lt;=0,99,ROUNDUP(MAX('Proje girdileri'!AC36,ROUNDUP('Proje girdileri'!AD36/'Ayarlar'!$B$7,0))/(52/12),0)),1,0))*('Proje girdileri'!Y36*(1-'Proje girdileri'!AA36-'Proje girdileri'!AB36)-'Proje girdileri'!Z36))-'Proje girdileri'!AJ36)</x:f>
        <x:v>591.9999999999999</x:v>
      </x:c>
      <x:c r="F36" s="24" t="n">
        <x:f>IF(5&gt;'Ayarlar'!$B$6,0,IF(MAX(0,'Ayarlar'!$B$6-IF('Ayarlar'!$B$7&lt;=0,99,ROUNDUP(MAX('Proje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girdileri'!AD36/'Ayarlar'!$B$7,0))/(52/12),0)),5-1&lt;'Proje girdileri'!AH36),POWER(1-'Proje girdileri'!AT36,5-1),0)+IF(AND(2&gt;IF('Ayarlar'!$B$7&lt;=0,99,ROUNDUP(MAX('Proje girdileri'!AC36,ROUNDUP('Proje girdileri'!AD36/'Ayarlar'!$B$7,0))/(52/12),0)),5-2&lt;'Proje girdileri'!AH36),POWER(1-'Proje girdileri'!AT36,5-2),0)+IF(AND(3&gt;IF('Ayarlar'!$B$7&lt;=0,99,ROUNDUP(MAX('Proje girdileri'!AC36,ROUNDUP('Proje girdileri'!AD36/'Ayarlar'!$B$7,0))/(52/12),0)),5-3&lt;'Proje girdileri'!AH36),POWER(1-'Proje girdileri'!AT36,5-3),0)+IF(AND(4&gt;IF('Ayarlar'!$B$7&lt;=0,99,ROUNDUP(MAX('Proje girdileri'!AC36,ROUNDUP('Proje girdileri'!AD36/'Ayarlar'!$B$7,0))/(52/12),0)),5-4&lt;'Proje girdileri'!AH36),POWER(1-'Proje girdileri'!AT36,5-4),0)+IF(AND(5&gt;IF('Ayarlar'!$B$7&lt;=0,99,ROUNDUP(MAX('Proje girdileri'!AC36,ROUNDUP('Proje girdileri'!AD36/'Ayarlar'!$B$7,0))/(52/12),0)),5-5&lt;'Proje girdileri'!AH36),POWER(1-'Proje girdileri'!AT36,5-5),0)),IF(5&gt;IF('Ayarlar'!$B$7&lt;=0,99,ROUNDUP(MAX('Proje girdileri'!AC36,ROUNDUP('Proje girdileri'!AD36/'Ayarlar'!$B$7,0))/(52/12),0)),1,0))*('Proje girdileri'!Y36*(1-'Proje girdileri'!AA36-'Proje girdileri'!AB36)-'Proje girdileri'!Z36))-'Proje girdileri'!AJ36)</x:f>
        <x:v>591.9999999999999</x:v>
      </x:c>
      <x:c r="G36" s="24" t="n">
        <x:f>IF(6&gt;'Ayarlar'!$B$6,0,IF(MAX(0,'Ayarlar'!$B$6-IF('Ayarlar'!$B$7&lt;=0,99,ROUNDUP(MAX('Proje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girdileri'!AD36/'Ayarlar'!$B$7,0))/(52/12),0)),6-1&lt;'Proje girdileri'!AH36),POWER(1-'Proje girdileri'!AT36,6-1),0)+IF(AND(2&gt;IF('Ayarlar'!$B$7&lt;=0,99,ROUNDUP(MAX('Proje girdileri'!AC36,ROUNDUP('Proje girdileri'!AD36/'Ayarlar'!$B$7,0))/(52/12),0)),6-2&lt;'Proje girdileri'!AH36),POWER(1-'Proje girdileri'!AT36,6-2),0)+IF(AND(3&gt;IF('Ayarlar'!$B$7&lt;=0,99,ROUNDUP(MAX('Proje girdileri'!AC36,ROUNDUP('Proje girdileri'!AD36/'Ayarlar'!$B$7,0))/(52/12),0)),6-3&lt;'Proje girdileri'!AH36),POWER(1-'Proje girdileri'!AT36,6-3),0)+IF(AND(4&gt;IF('Ayarlar'!$B$7&lt;=0,99,ROUNDUP(MAX('Proje girdileri'!AC36,ROUNDUP('Proje girdileri'!AD36/'Ayarlar'!$B$7,0))/(52/12),0)),6-4&lt;'Proje girdileri'!AH36),POWER(1-'Proje girdileri'!AT36,6-4),0)+IF(AND(5&gt;IF('Ayarlar'!$B$7&lt;=0,99,ROUNDUP(MAX('Proje girdileri'!AC36,ROUNDUP('Proje girdileri'!AD36/'Ayarlar'!$B$7,0))/(52/12),0)),6-5&lt;'Proje girdileri'!AH36),POWER(1-'Proje girdileri'!AT36,6-5),0)+IF(AND(6&gt;IF('Ayarlar'!$B$7&lt;=0,99,ROUNDUP(MAX('Proje girdileri'!AC36,ROUNDUP('Proje girdileri'!AD36/'Ayarlar'!$B$7,0))/(52/12),0)),6-6&lt;'Proje girdileri'!AH36),POWER(1-'Proje girdileri'!AT36,6-6),0)),IF(6&gt;IF('Ayarlar'!$B$7&lt;=0,99,ROUNDUP(MAX('Proje girdileri'!AC36,ROUNDUP('Proje girdileri'!AD36/'Ayarlar'!$B$7,0))/(52/12),0)),1,0))*('Proje girdileri'!Y36*(1-'Proje girdileri'!AA36-'Proje girdileri'!AB36)-'Proje girdileri'!Z36))-'Proje girdileri'!AJ36)</x:f>
        <x:v>591.9999999999999</x:v>
      </x:c>
      <x:c r="H36" s="24" t="n">
        <x:f>IF(7&gt;'Ayarlar'!$B$6,0,IF(MAX(0,'Ayarlar'!$B$6-IF('Ayarlar'!$B$7&lt;=0,99,ROUNDUP(MAX('Proje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girdileri'!AD36/'Ayarlar'!$B$7,0))/(52/12),0)),7-1&lt;'Proje girdileri'!AH36),POWER(1-'Proje girdileri'!AT36,7-1),0)+IF(AND(2&gt;IF('Ayarlar'!$B$7&lt;=0,99,ROUNDUP(MAX('Proje girdileri'!AC36,ROUNDUP('Proje girdileri'!AD36/'Ayarlar'!$B$7,0))/(52/12),0)),7-2&lt;'Proje girdileri'!AH36),POWER(1-'Proje girdileri'!AT36,7-2),0)+IF(AND(3&gt;IF('Ayarlar'!$B$7&lt;=0,99,ROUNDUP(MAX('Proje girdileri'!AC36,ROUNDUP('Proje girdileri'!AD36/'Ayarlar'!$B$7,0))/(52/12),0)),7-3&lt;'Proje girdileri'!AH36),POWER(1-'Proje girdileri'!AT36,7-3),0)+IF(AND(4&gt;IF('Ayarlar'!$B$7&lt;=0,99,ROUNDUP(MAX('Proje girdileri'!AC36,ROUNDUP('Proje girdileri'!AD36/'Ayarlar'!$B$7,0))/(52/12),0)),7-4&lt;'Proje girdileri'!AH36),POWER(1-'Proje girdileri'!AT36,7-4),0)+IF(AND(5&gt;IF('Ayarlar'!$B$7&lt;=0,99,ROUNDUP(MAX('Proje girdileri'!AC36,ROUNDUP('Proje girdileri'!AD36/'Ayarlar'!$B$7,0))/(52/12),0)),7-5&lt;'Proje girdileri'!AH36),POWER(1-'Proje girdileri'!AT36,7-5),0)+IF(AND(6&gt;IF('Ayarlar'!$B$7&lt;=0,99,ROUNDUP(MAX('Proje girdileri'!AC36,ROUNDUP('Proje girdileri'!AD36/'Ayarlar'!$B$7,0))/(52/12),0)),7-6&lt;'Proje girdileri'!AH36),POWER(1-'Proje girdileri'!AT36,7-6),0)+IF(AND(7&gt;IF('Ayarlar'!$B$7&lt;=0,99,ROUNDUP(MAX('Proje girdileri'!AC36,ROUNDUP('Proje girdileri'!AD36/'Ayarlar'!$B$7,0))/(52/12),0)),7-7&lt;'Proje girdileri'!AH36),POWER(1-'Proje girdileri'!AT36,7-7),0)),IF(7&gt;IF('Ayarlar'!$B$7&lt;=0,99,ROUNDUP(MAX('Proje girdileri'!AC36,ROUNDUP('Proje girdileri'!AD36/'Ayarlar'!$B$7,0))/(52/12),0)),1,0))*('Proje girdileri'!Y36*(1-'Proje girdileri'!AA36-'Proje girdileri'!AB36)-'Proje girdileri'!Z36))-'Proje girdileri'!AJ36)</x:f>
        <x:v>0</x:v>
      </x:c>
      <x:c r="I36" s="24" t="n">
        <x:f>IF(8&gt;'Ayarlar'!$B$6,0,IF(MAX(0,'Ayarlar'!$B$6-IF('Ayarlar'!$B$7&lt;=0,99,ROUNDUP(MAX('Proje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girdileri'!AD36/'Ayarlar'!$B$7,0))/(52/12),0)),8-1&lt;'Proje girdileri'!AH36),POWER(1-'Proje girdileri'!AT36,8-1),0)+IF(AND(2&gt;IF('Ayarlar'!$B$7&lt;=0,99,ROUNDUP(MAX('Proje girdileri'!AC36,ROUNDUP('Proje girdileri'!AD36/'Ayarlar'!$B$7,0))/(52/12),0)),8-2&lt;'Proje girdileri'!AH36),POWER(1-'Proje girdileri'!AT36,8-2),0)+IF(AND(3&gt;IF('Ayarlar'!$B$7&lt;=0,99,ROUNDUP(MAX('Proje girdileri'!AC36,ROUNDUP('Proje girdileri'!AD36/'Ayarlar'!$B$7,0))/(52/12),0)),8-3&lt;'Proje girdileri'!AH36),POWER(1-'Proje girdileri'!AT36,8-3),0)+IF(AND(4&gt;IF('Ayarlar'!$B$7&lt;=0,99,ROUNDUP(MAX('Proje girdileri'!AC36,ROUNDUP('Proje girdileri'!AD36/'Ayarlar'!$B$7,0))/(52/12),0)),8-4&lt;'Proje girdileri'!AH36),POWER(1-'Proje girdileri'!AT36,8-4),0)+IF(AND(5&gt;IF('Ayarlar'!$B$7&lt;=0,99,ROUNDUP(MAX('Proje girdileri'!AC36,ROUNDUP('Proje girdileri'!AD36/'Ayarlar'!$B$7,0))/(52/12),0)),8-5&lt;'Proje girdileri'!AH36),POWER(1-'Proje girdileri'!AT36,8-5),0)+IF(AND(6&gt;IF('Ayarlar'!$B$7&lt;=0,99,ROUNDUP(MAX('Proje girdileri'!AC36,ROUNDUP('Proje girdileri'!AD36/'Ayarlar'!$B$7,0))/(52/12),0)),8-6&lt;'Proje girdileri'!AH36),POWER(1-'Proje girdileri'!AT36,8-6),0)+IF(AND(7&gt;IF('Ayarlar'!$B$7&lt;=0,99,ROUNDUP(MAX('Proje girdileri'!AC36,ROUNDUP('Proje girdileri'!AD36/'Ayarlar'!$B$7,0))/(52/12),0)),8-7&lt;'Proje girdileri'!AH36),POWER(1-'Proje girdileri'!AT36,8-7),0)+IF(AND(8&gt;IF('Ayarlar'!$B$7&lt;=0,99,ROUNDUP(MAX('Proje girdileri'!AC36,ROUNDUP('Proje girdileri'!AD36/'Ayarlar'!$B$7,0))/(52/12),0)),8-8&lt;'Proje girdileri'!AH36),POWER(1-'Proje girdileri'!AT36,8-8),0)),IF(8&gt;IF('Ayarlar'!$B$7&lt;=0,99,ROUNDUP(MAX('Proje girdileri'!AC36,ROUNDUP('Proje girdileri'!AD36/'Ayarlar'!$B$7,0))/(52/12),0)),1,0))*('Proje girdileri'!Y36*(1-'Proje girdileri'!AA36-'Proje girdileri'!AB36)-'Proje girdileri'!Z36))-'Proje girdileri'!AJ36)</x:f>
        <x:v>0</x:v>
      </x:c>
      <x:c r="J36" s="24" t="n">
        <x:f>IF(9&gt;'Ayarlar'!$B$6,0,IF(MAX(0,'Ayarlar'!$B$6-IF('Ayarlar'!$B$7&lt;=0,99,ROUNDUP(MAX('Proje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girdileri'!AD36/'Ayarlar'!$B$7,0))/(52/12),0)),9-1&lt;'Proje girdileri'!AH36),POWER(1-'Proje girdileri'!AT36,9-1),0)+IF(AND(2&gt;IF('Ayarlar'!$B$7&lt;=0,99,ROUNDUP(MAX('Proje girdileri'!AC36,ROUNDUP('Proje girdileri'!AD36/'Ayarlar'!$B$7,0))/(52/12),0)),9-2&lt;'Proje girdileri'!AH36),POWER(1-'Proje girdileri'!AT36,9-2),0)+IF(AND(3&gt;IF('Ayarlar'!$B$7&lt;=0,99,ROUNDUP(MAX('Proje girdileri'!AC36,ROUNDUP('Proje girdileri'!AD36/'Ayarlar'!$B$7,0))/(52/12),0)),9-3&lt;'Proje girdileri'!AH36),POWER(1-'Proje girdileri'!AT36,9-3),0)+IF(AND(4&gt;IF('Ayarlar'!$B$7&lt;=0,99,ROUNDUP(MAX('Proje girdileri'!AC36,ROUNDUP('Proje girdileri'!AD36/'Ayarlar'!$B$7,0))/(52/12),0)),9-4&lt;'Proje girdileri'!AH36),POWER(1-'Proje girdileri'!AT36,9-4),0)+IF(AND(5&gt;IF('Ayarlar'!$B$7&lt;=0,99,ROUNDUP(MAX('Proje girdileri'!AC36,ROUNDUP('Proje girdileri'!AD36/'Ayarlar'!$B$7,0))/(52/12),0)),9-5&lt;'Proje girdileri'!AH36),POWER(1-'Proje girdileri'!AT36,9-5),0)+IF(AND(6&gt;IF('Ayarlar'!$B$7&lt;=0,99,ROUNDUP(MAX('Proje girdileri'!AC36,ROUNDUP('Proje girdileri'!AD36/'Ayarlar'!$B$7,0))/(52/12),0)),9-6&lt;'Proje girdileri'!AH36),POWER(1-'Proje girdileri'!AT36,9-6),0)+IF(AND(7&gt;IF('Ayarlar'!$B$7&lt;=0,99,ROUNDUP(MAX('Proje girdileri'!AC36,ROUNDUP('Proje girdileri'!AD36/'Ayarlar'!$B$7,0))/(52/12),0)),9-7&lt;'Proje girdileri'!AH36),POWER(1-'Proje girdileri'!AT36,9-7),0)+IF(AND(8&gt;IF('Ayarlar'!$B$7&lt;=0,99,ROUNDUP(MAX('Proje girdileri'!AC36,ROUNDUP('Proje girdileri'!AD36/'Ayarlar'!$B$7,0))/(52/12),0)),9-8&lt;'Proje girdileri'!AH36),POWER(1-'Proje girdileri'!AT36,9-8),0)+IF(AND(9&gt;IF('Ayarlar'!$B$7&lt;=0,99,ROUNDUP(MAX('Proje girdileri'!AC36,ROUNDUP('Proje girdileri'!AD36/'Ayarlar'!$B$7,0))/(52/12),0)),9-9&lt;'Proje girdileri'!AH36),POWER(1-'Proje girdileri'!AT36,9-9),0)),IF(9&gt;IF('Ayarlar'!$B$7&lt;=0,99,ROUNDUP(MAX('Proje girdileri'!AC36,ROUNDUP('Proje girdileri'!AD36/'Ayarlar'!$B$7,0))/(52/12),0)),1,0))*('Proje girdileri'!Y36*(1-'Proje girdileri'!AA36-'Proje girdileri'!AB36)-'Proje girdileri'!Z36))-'Proje girdileri'!AJ36)</x:f>
        <x:v>0</x:v>
      </x:c>
      <x:c r="K36" s="24" t="n">
        <x:f>IF(10&gt;'Ayarlar'!$B$6,0,IF(MAX(0,'Ayarlar'!$B$6-IF('Ayarlar'!$B$7&lt;=0,99,ROUNDUP(MAX('Proje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girdileri'!AD36/'Ayarlar'!$B$7,0))/(52/12),0)),10-1&lt;'Proje girdileri'!AH36),POWER(1-'Proje girdileri'!AT36,10-1),0)+IF(AND(2&gt;IF('Ayarlar'!$B$7&lt;=0,99,ROUNDUP(MAX('Proje girdileri'!AC36,ROUNDUP('Proje girdileri'!AD36/'Ayarlar'!$B$7,0))/(52/12),0)),10-2&lt;'Proje girdileri'!AH36),POWER(1-'Proje girdileri'!AT36,10-2),0)+IF(AND(3&gt;IF('Ayarlar'!$B$7&lt;=0,99,ROUNDUP(MAX('Proje girdileri'!AC36,ROUNDUP('Proje girdileri'!AD36/'Ayarlar'!$B$7,0))/(52/12),0)),10-3&lt;'Proje girdileri'!AH36),POWER(1-'Proje girdileri'!AT36,10-3),0)+IF(AND(4&gt;IF('Ayarlar'!$B$7&lt;=0,99,ROUNDUP(MAX('Proje girdileri'!AC36,ROUNDUP('Proje girdileri'!AD36/'Ayarlar'!$B$7,0))/(52/12),0)),10-4&lt;'Proje girdileri'!AH36),POWER(1-'Proje girdileri'!AT36,10-4),0)+IF(AND(5&gt;IF('Ayarlar'!$B$7&lt;=0,99,ROUNDUP(MAX('Proje girdileri'!AC36,ROUNDUP('Proje girdileri'!AD36/'Ayarlar'!$B$7,0))/(52/12),0)),10-5&lt;'Proje girdileri'!AH36),POWER(1-'Proje girdileri'!AT36,10-5),0)+IF(AND(6&gt;IF('Ayarlar'!$B$7&lt;=0,99,ROUNDUP(MAX('Proje girdileri'!AC36,ROUNDUP('Proje girdileri'!AD36/'Ayarlar'!$B$7,0))/(52/12),0)),10-6&lt;'Proje girdileri'!AH36),POWER(1-'Proje girdileri'!AT36,10-6),0)+IF(AND(7&gt;IF('Ayarlar'!$B$7&lt;=0,99,ROUNDUP(MAX('Proje girdileri'!AC36,ROUNDUP('Proje girdileri'!AD36/'Ayarlar'!$B$7,0))/(52/12),0)),10-7&lt;'Proje girdileri'!AH36),POWER(1-'Proje girdileri'!AT36,10-7),0)+IF(AND(8&gt;IF('Ayarlar'!$B$7&lt;=0,99,ROUNDUP(MAX('Proje girdileri'!AC36,ROUNDUP('Proje girdileri'!AD36/'Ayarlar'!$B$7,0))/(52/12),0)),10-8&lt;'Proje girdileri'!AH36),POWER(1-'Proje girdileri'!AT36,10-8),0)+IF(AND(9&gt;IF('Ayarlar'!$B$7&lt;=0,99,ROUNDUP(MAX('Proje girdileri'!AC36,ROUNDUP('Proje girdileri'!AD36/'Ayarlar'!$B$7,0))/(52/12),0)),10-9&lt;'Proje girdileri'!AH36),POWER(1-'Proje girdileri'!AT36,10-9),0)+IF(AND(10&gt;IF('Ayarlar'!$B$7&lt;=0,99,ROUNDUP(MAX('Proje girdileri'!AC36,ROUNDUP('Proje girdileri'!AD36/'Ayarlar'!$B$7,0))/(52/12),0)),10-10&lt;'Proje girdileri'!AH36),POWER(1-'Proje girdileri'!AT36,10-10),0)),IF(10&gt;IF('Ayarlar'!$B$7&lt;=0,99,ROUNDUP(MAX('Proje girdileri'!AC36,ROUNDUP('Proje girdileri'!AD36/'Ayarlar'!$B$7,0))/(52/12),0)),1,0))*('Proje girdileri'!Y36*(1-'Proje girdileri'!AA36-'Proje girdileri'!AB36)-'Proje girdileri'!Z36))-'Proje girdileri'!AJ36)</x:f>
        <x:v>0</x:v>
      </x:c>
      <x:c r="L36" s="24" t="n">
        <x:f>IF(11&gt;'Ayarlar'!$B$6,0,IF(MAX(0,'Ayarlar'!$B$6-IF('Ayarlar'!$B$7&lt;=0,99,ROUNDUP(MAX('Proje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girdileri'!AD36/'Ayarlar'!$B$7,0))/(52/12),0)),11-1&lt;'Proje girdileri'!AH36),POWER(1-'Proje girdileri'!AT36,11-1),0)+IF(AND(2&gt;IF('Ayarlar'!$B$7&lt;=0,99,ROUNDUP(MAX('Proje girdileri'!AC36,ROUNDUP('Proje girdileri'!AD36/'Ayarlar'!$B$7,0))/(52/12),0)),11-2&lt;'Proje girdileri'!AH36),POWER(1-'Proje girdileri'!AT36,11-2),0)+IF(AND(3&gt;IF('Ayarlar'!$B$7&lt;=0,99,ROUNDUP(MAX('Proje girdileri'!AC36,ROUNDUP('Proje girdileri'!AD36/'Ayarlar'!$B$7,0))/(52/12),0)),11-3&lt;'Proje girdileri'!AH36),POWER(1-'Proje girdileri'!AT36,11-3),0)+IF(AND(4&gt;IF('Ayarlar'!$B$7&lt;=0,99,ROUNDUP(MAX('Proje girdileri'!AC36,ROUNDUP('Proje girdileri'!AD36/'Ayarlar'!$B$7,0))/(52/12),0)),11-4&lt;'Proje girdileri'!AH36),POWER(1-'Proje girdileri'!AT36,11-4),0)+IF(AND(5&gt;IF('Ayarlar'!$B$7&lt;=0,99,ROUNDUP(MAX('Proje girdileri'!AC36,ROUNDUP('Proje girdileri'!AD36/'Ayarlar'!$B$7,0))/(52/12),0)),11-5&lt;'Proje girdileri'!AH36),POWER(1-'Proje girdileri'!AT36,11-5),0)+IF(AND(6&gt;IF('Ayarlar'!$B$7&lt;=0,99,ROUNDUP(MAX('Proje girdileri'!AC36,ROUNDUP('Proje girdileri'!AD36/'Ayarlar'!$B$7,0))/(52/12),0)),11-6&lt;'Proje girdileri'!AH36),POWER(1-'Proje girdileri'!AT36,11-6),0)+IF(AND(7&gt;IF('Ayarlar'!$B$7&lt;=0,99,ROUNDUP(MAX('Proje girdileri'!AC36,ROUNDUP('Proje girdileri'!AD36/'Ayarlar'!$B$7,0))/(52/12),0)),11-7&lt;'Proje girdileri'!AH36),POWER(1-'Proje girdileri'!AT36,11-7),0)+IF(AND(8&gt;IF('Ayarlar'!$B$7&lt;=0,99,ROUNDUP(MAX('Proje girdileri'!AC36,ROUNDUP('Proje girdileri'!AD36/'Ayarlar'!$B$7,0))/(52/12),0)),11-8&lt;'Proje girdileri'!AH36),POWER(1-'Proje girdileri'!AT36,11-8),0)+IF(AND(9&gt;IF('Ayarlar'!$B$7&lt;=0,99,ROUNDUP(MAX('Proje girdileri'!AC36,ROUNDUP('Proje girdileri'!AD36/'Ayarlar'!$B$7,0))/(52/12),0)),11-9&lt;'Proje girdileri'!AH36),POWER(1-'Proje girdileri'!AT36,11-9),0)+IF(AND(10&gt;IF('Ayarlar'!$B$7&lt;=0,99,ROUNDUP(MAX('Proje girdileri'!AC36,ROUNDUP('Proje girdileri'!AD36/'Ayarlar'!$B$7,0))/(52/12),0)),11-10&lt;'Proje girdileri'!AH36),POWER(1-'Proje girdileri'!AT36,11-10),0)+IF(AND(11&gt;IF('Ayarlar'!$B$7&lt;=0,99,ROUNDUP(MAX('Proje girdileri'!AC36,ROUNDUP('Proje girdileri'!AD36/'Ayarlar'!$B$7,0))/(52/12),0)),11-11&lt;'Proje girdileri'!AH36),POWER(1-'Proje girdileri'!AT36,11-11),0)),IF(11&gt;IF('Ayarlar'!$B$7&lt;=0,99,ROUNDUP(MAX('Proje girdileri'!AC36,ROUNDUP('Proje girdileri'!AD36/'Ayarlar'!$B$7,0))/(52/12),0)),1,0))*('Proje girdileri'!Y36*(1-'Proje girdileri'!AA36-'Proje girdileri'!AB36)-'Proje girdileri'!Z36))-'Proje girdileri'!AJ36)</x:f>
        <x:v>0</x:v>
      </x:c>
      <x:c r="M36" s="24" t="n">
        <x:f>IF(12&gt;'Ayarlar'!$B$6,0,IF(MAX(0,'Ayarlar'!$B$6-IF('Ayarlar'!$B$7&lt;=0,99,ROUNDUP(MAX('Proje girdileri'!AC36,ROUNDUP('Proje girdileri'!AD36/'Ayarlar'!$B$7,0))/(52/12),0)))=0,0,'Hesap'!I36/MAX(0,'Ayarlar'!$B$6-IF('Ayarlar'!$B$7&lt;=0,99,ROUNDUP(MAX('Proje girdileri'!AC36,ROUNDUP('Proje girdileri'!AD36/'Ayarlar'!$B$7,0))/(52/12),0)))*IF('Proje girdileri'!C36="recurring",(IF(AND(1&gt;IF('Ayarlar'!$B$7&lt;=0,99,ROUNDUP(MAX('Proje girdileri'!AC36,ROUNDUP('Proje girdileri'!AD36/'Ayarlar'!$B$7,0))/(52/12),0)),12-1&lt;'Proje girdileri'!AH36),POWER(1-'Proje girdileri'!AT36,12-1),0)+IF(AND(2&gt;IF('Ayarlar'!$B$7&lt;=0,99,ROUNDUP(MAX('Proje girdileri'!AC36,ROUNDUP('Proje girdileri'!AD36/'Ayarlar'!$B$7,0))/(52/12),0)),12-2&lt;'Proje girdileri'!AH36),POWER(1-'Proje girdileri'!AT36,12-2),0)+IF(AND(3&gt;IF('Ayarlar'!$B$7&lt;=0,99,ROUNDUP(MAX('Proje girdileri'!AC36,ROUNDUP('Proje girdileri'!AD36/'Ayarlar'!$B$7,0))/(52/12),0)),12-3&lt;'Proje girdileri'!AH36),POWER(1-'Proje girdileri'!AT36,12-3),0)+IF(AND(4&gt;IF('Ayarlar'!$B$7&lt;=0,99,ROUNDUP(MAX('Proje girdileri'!AC36,ROUNDUP('Proje girdileri'!AD36/'Ayarlar'!$B$7,0))/(52/12),0)),12-4&lt;'Proje girdileri'!AH36),POWER(1-'Proje girdileri'!AT36,12-4),0)+IF(AND(5&gt;IF('Ayarlar'!$B$7&lt;=0,99,ROUNDUP(MAX('Proje girdileri'!AC36,ROUNDUP('Proje girdileri'!AD36/'Ayarlar'!$B$7,0))/(52/12),0)),12-5&lt;'Proje girdileri'!AH36),POWER(1-'Proje girdileri'!AT36,12-5),0)+IF(AND(6&gt;IF('Ayarlar'!$B$7&lt;=0,99,ROUNDUP(MAX('Proje girdileri'!AC36,ROUNDUP('Proje girdileri'!AD36/'Ayarlar'!$B$7,0))/(52/12),0)),12-6&lt;'Proje girdileri'!AH36),POWER(1-'Proje girdileri'!AT36,12-6),0)+IF(AND(7&gt;IF('Ayarlar'!$B$7&lt;=0,99,ROUNDUP(MAX('Proje girdileri'!AC36,ROUNDUP('Proje girdileri'!AD36/'Ayarlar'!$B$7,0))/(52/12),0)),12-7&lt;'Proje girdileri'!AH36),POWER(1-'Proje girdileri'!AT36,12-7),0)+IF(AND(8&gt;IF('Ayarlar'!$B$7&lt;=0,99,ROUNDUP(MAX('Proje girdileri'!AC36,ROUNDUP('Proje girdileri'!AD36/'Ayarlar'!$B$7,0))/(52/12),0)),12-8&lt;'Proje girdileri'!AH36),POWER(1-'Proje girdileri'!AT36,12-8),0)+IF(AND(9&gt;IF('Ayarlar'!$B$7&lt;=0,99,ROUNDUP(MAX('Proje girdileri'!AC36,ROUNDUP('Proje girdileri'!AD36/'Ayarlar'!$B$7,0))/(52/12),0)),12-9&lt;'Proje girdileri'!AH36),POWER(1-'Proje girdileri'!AT36,12-9),0)+IF(AND(10&gt;IF('Ayarlar'!$B$7&lt;=0,99,ROUNDUP(MAX('Proje girdileri'!AC36,ROUNDUP('Proje girdileri'!AD36/'Ayarlar'!$B$7,0))/(52/12),0)),12-10&lt;'Proje girdileri'!AH36),POWER(1-'Proje girdileri'!AT36,12-10),0)+IF(AND(11&gt;IF('Ayarlar'!$B$7&lt;=0,99,ROUNDUP(MAX('Proje girdileri'!AC36,ROUNDUP('Proje girdileri'!AD36/'Ayarlar'!$B$7,0))/(52/12),0)),12-11&lt;'Proje girdileri'!AH36),POWER(1-'Proje girdileri'!AT36,12-11),0)+IF(AND(12&gt;IF('Ayarlar'!$B$7&lt;=0,99,ROUNDUP(MAX('Proje girdileri'!AC36,ROUNDUP('Proje girdileri'!AD36/'Ayarlar'!$B$7,0))/(52/12),0)),12-12&lt;'Proje girdileri'!AH36),POWER(1-'Proje girdileri'!AT36,12-12),0)),IF(12&gt;IF('Ayarlar'!$B$7&lt;=0,99,ROUNDUP(MAX('Proje girdileri'!AC36,ROUNDUP('Proje girdileri'!AD36/'Ayarlar'!$B$7,0))/(52/12),0)),1,0))*('Proje girdileri'!Y36*(1-'Proje girdileri'!AA36-'Proje girdileri'!AB36)-'Proje girdileri'!Z36))-'Proje girdileri'!AJ36)</x:f>
        <x:v>0</x:v>
      </x:c>
      <x:c r="N36" s="24" t="n">
        <x:f>SUM(B36:M36)</x:f>
        <x:v>2276.9999999999995</x:v>
      </x:c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</x:row>
    <x:row r="37" ht="24" customHeight="1">
      <x:c r="A37" s="2" t="str">
        <x:f>'Hesap'!B37</x:f>
        <x:v>Anonim kurucu şablonu</x:v>
      </x:c>
      <x:c r="B37" s="24" t="n">
        <x:f>IF(1&gt;'Ayarlar'!$B$6,0,IF(MAX(0,'Ayarlar'!$B$6-IF('Ayarlar'!$B$7&lt;=0,99,ROUNDUP(MAX('Proje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girdileri'!AD37/'Ayarlar'!$B$7,0))/(52/12),0)),1-1&lt;'Proje girdileri'!AH37),POWER(1-'Proje girdileri'!AT37,1-1),0)),IF(1&gt;IF('Ayarlar'!$B$7&lt;=0,99,ROUNDUP(MAX('Proje girdileri'!AC37,ROUNDUP('Proje girdileri'!AD37/'Ayarlar'!$B$7,0))/(52/12),0)),1,0))*('Proje girdileri'!Y37*(1-'Proje girdileri'!AA37-'Proje girdileri'!AB37)-'Proje girdileri'!Z37))-'Proje girdileri'!AJ37-'Proje girdileri'!AI37)</x:f>
        <x:v>-83</x:v>
      </x:c>
      <x:c r="C37" s="24" t="n">
        <x:f>IF(2&gt;'Ayarlar'!$B$6,0,IF(MAX(0,'Ayarlar'!$B$6-IF('Ayarlar'!$B$7&lt;=0,99,ROUNDUP(MAX('Proje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girdileri'!AD37/'Ayarlar'!$B$7,0))/(52/12),0)),2-1&lt;'Proje girdileri'!AH37),POWER(1-'Proje girdileri'!AT37,2-1),0)+IF(AND(2&gt;IF('Ayarlar'!$B$7&lt;=0,99,ROUNDUP(MAX('Proje girdileri'!AC37,ROUNDUP('Proje girdileri'!AD37/'Ayarlar'!$B$7,0))/(52/12),0)),2-2&lt;'Proje girdileri'!AH37),POWER(1-'Proje girdileri'!AT37,2-2),0)),IF(2&gt;IF('Ayarlar'!$B$7&lt;=0,99,ROUNDUP(MAX('Proje girdileri'!AC37,ROUNDUP('Proje girdileri'!AD37/'Ayarlar'!$B$7,0))/(52/12),0)),1,0))*('Proje girdileri'!Y37*(1-'Proje girdileri'!AA37-'Proje girdileri'!AB37)-'Proje girdileri'!Z37))-'Proje girdileri'!AJ37)</x:f>
        <x:v>-8</x:v>
      </x:c>
      <x:c r="D37" s="24" t="n">
        <x:f>IF(3&gt;'Ayarlar'!$B$6,0,IF(MAX(0,'Ayarlar'!$B$6-IF('Ayarlar'!$B$7&lt;=0,99,ROUNDUP(MAX('Proje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girdileri'!AD37/'Ayarlar'!$B$7,0))/(52/12),0)),3-1&lt;'Proje girdileri'!AH37),POWER(1-'Proje girdileri'!AT37,3-1),0)+IF(AND(2&gt;IF('Ayarlar'!$B$7&lt;=0,99,ROUNDUP(MAX('Proje girdileri'!AC37,ROUNDUP('Proje girdileri'!AD37/'Ayarlar'!$B$7,0))/(52/12),0)),3-2&lt;'Proje girdileri'!AH37),POWER(1-'Proje girdileri'!AT37,3-2),0)+IF(AND(3&gt;IF('Ayarlar'!$B$7&lt;=0,99,ROUNDUP(MAX('Proje girdileri'!AC37,ROUNDUP('Proje girdileri'!AD37/'Ayarlar'!$B$7,0))/(52/12),0)),3-3&lt;'Proje girdileri'!AH37),POWER(1-'Proje girdileri'!AT37,3-3),0)),IF(3&gt;IF('Ayarlar'!$B$7&lt;=0,99,ROUNDUP(MAX('Proje girdileri'!AC37,ROUNDUP('Proje girdileri'!AD37/'Ayarlar'!$B$7,0))/(52/12),0)),1,0))*('Proje girdileri'!Y37*(1-'Proje girdileri'!AA37-'Proje girdileri'!AB37)-'Proje girdileri'!Z37))-'Proje girdileri'!AJ37)</x:f>
        <x:v>116.12499999999997</x:v>
      </x:c>
      <x:c r="E37" s="24" t="n">
        <x:f>IF(4&gt;'Ayarlar'!$B$6,0,IF(MAX(0,'Ayarlar'!$B$6-IF('Ayarlar'!$B$7&lt;=0,99,ROUNDUP(MAX('Proje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girdileri'!AD37/'Ayarlar'!$B$7,0))/(52/12),0)),4-1&lt;'Proje girdileri'!AH37),POWER(1-'Proje girdileri'!AT37,4-1),0)+IF(AND(2&gt;IF('Ayarlar'!$B$7&lt;=0,99,ROUNDUP(MAX('Proje girdileri'!AC37,ROUNDUP('Proje girdileri'!AD37/'Ayarlar'!$B$7,0))/(52/12),0)),4-2&lt;'Proje girdileri'!AH37),POWER(1-'Proje girdileri'!AT37,4-2),0)+IF(AND(3&gt;IF('Ayarlar'!$B$7&lt;=0,99,ROUNDUP(MAX('Proje girdileri'!AC37,ROUNDUP('Proje girdileri'!AD37/'Ayarlar'!$B$7,0))/(52/12),0)),4-3&lt;'Proje girdileri'!AH37),POWER(1-'Proje girdileri'!AT37,4-3),0)+IF(AND(4&gt;IF('Ayarlar'!$B$7&lt;=0,99,ROUNDUP(MAX('Proje girdileri'!AC37,ROUNDUP('Proje girdileri'!AD37/'Ayarlar'!$B$7,0))/(52/12),0)),4-4&lt;'Proje girdileri'!AH37),POWER(1-'Proje girdileri'!AT37,4-4),0)),IF(4&gt;IF('Ayarlar'!$B$7&lt;=0,99,ROUNDUP(MAX('Proje girdileri'!AC37,ROUNDUP('Proje girdileri'!AD37/'Ayarlar'!$B$7,0))/(52/12),0)),1,0))*('Proje girdileri'!Y37*(1-'Proje girdileri'!AA37-'Proje girdileri'!AB37)-'Proje girdileri'!Z37))-'Proje girdileri'!AJ37)</x:f>
        <x:v>116.12499999999997</x:v>
      </x:c>
      <x:c r="F37" s="24" t="n">
        <x:f>IF(5&gt;'Ayarlar'!$B$6,0,IF(MAX(0,'Ayarlar'!$B$6-IF('Ayarlar'!$B$7&lt;=0,99,ROUNDUP(MAX('Proje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girdileri'!AD37/'Ayarlar'!$B$7,0))/(52/12),0)),5-1&lt;'Proje girdileri'!AH37),POWER(1-'Proje girdileri'!AT37,5-1),0)+IF(AND(2&gt;IF('Ayarlar'!$B$7&lt;=0,99,ROUNDUP(MAX('Proje girdileri'!AC37,ROUNDUP('Proje girdileri'!AD37/'Ayarlar'!$B$7,0))/(52/12),0)),5-2&lt;'Proje girdileri'!AH37),POWER(1-'Proje girdileri'!AT37,5-2),0)+IF(AND(3&gt;IF('Ayarlar'!$B$7&lt;=0,99,ROUNDUP(MAX('Proje girdileri'!AC37,ROUNDUP('Proje girdileri'!AD37/'Ayarlar'!$B$7,0))/(52/12),0)),5-3&lt;'Proje girdileri'!AH37),POWER(1-'Proje girdileri'!AT37,5-3),0)+IF(AND(4&gt;IF('Ayarlar'!$B$7&lt;=0,99,ROUNDUP(MAX('Proje girdileri'!AC37,ROUNDUP('Proje girdileri'!AD37/'Ayarlar'!$B$7,0))/(52/12),0)),5-4&lt;'Proje girdileri'!AH37),POWER(1-'Proje girdileri'!AT37,5-4),0)+IF(AND(5&gt;IF('Ayarlar'!$B$7&lt;=0,99,ROUNDUP(MAX('Proje girdileri'!AC37,ROUNDUP('Proje girdileri'!AD37/'Ayarlar'!$B$7,0))/(52/12),0)),5-5&lt;'Proje girdileri'!AH37),POWER(1-'Proje girdileri'!AT37,5-5),0)),IF(5&gt;IF('Ayarlar'!$B$7&lt;=0,99,ROUNDUP(MAX('Proje girdileri'!AC37,ROUNDUP('Proje girdileri'!AD37/'Ayarlar'!$B$7,0))/(52/12),0)),1,0))*('Proje girdileri'!Y37*(1-'Proje girdileri'!AA37-'Proje girdileri'!AB37)-'Proje girdileri'!Z37))-'Proje girdileri'!AJ37)</x:f>
        <x:v>116.12499999999997</x:v>
      </x:c>
      <x:c r="G37" s="24" t="n">
        <x:f>IF(6&gt;'Ayarlar'!$B$6,0,IF(MAX(0,'Ayarlar'!$B$6-IF('Ayarlar'!$B$7&lt;=0,99,ROUNDUP(MAX('Proje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girdileri'!AD37/'Ayarlar'!$B$7,0))/(52/12),0)),6-1&lt;'Proje girdileri'!AH37),POWER(1-'Proje girdileri'!AT37,6-1),0)+IF(AND(2&gt;IF('Ayarlar'!$B$7&lt;=0,99,ROUNDUP(MAX('Proje girdileri'!AC37,ROUNDUP('Proje girdileri'!AD37/'Ayarlar'!$B$7,0))/(52/12),0)),6-2&lt;'Proje girdileri'!AH37),POWER(1-'Proje girdileri'!AT37,6-2),0)+IF(AND(3&gt;IF('Ayarlar'!$B$7&lt;=0,99,ROUNDUP(MAX('Proje girdileri'!AC37,ROUNDUP('Proje girdileri'!AD37/'Ayarlar'!$B$7,0))/(52/12),0)),6-3&lt;'Proje girdileri'!AH37),POWER(1-'Proje girdileri'!AT37,6-3),0)+IF(AND(4&gt;IF('Ayarlar'!$B$7&lt;=0,99,ROUNDUP(MAX('Proje girdileri'!AC37,ROUNDUP('Proje girdileri'!AD37/'Ayarlar'!$B$7,0))/(52/12),0)),6-4&lt;'Proje girdileri'!AH37),POWER(1-'Proje girdileri'!AT37,6-4),0)+IF(AND(5&gt;IF('Ayarlar'!$B$7&lt;=0,99,ROUNDUP(MAX('Proje girdileri'!AC37,ROUNDUP('Proje girdileri'!AD37/'Ayarlar'!$B$7,0))/(52/12),0)),6-5&lt;'Proje girdileri'!AH37),POWER(1-'Proje girdileri'!AT37,6-5),0)+IF(AND(6&gt;IF('Ayarlar'!$B$7&lt;=0,99,ROUNDUP(MAX('Proje girdileri'!AC37,ROUNDUP('Proje girdileri'!AD37/'Ayarlar'!$B$7,0))/(52/12),0)),6-6&lt;'Proje girdileri'!AH37),POWER(1-'Proje girdileri'!AT37,6-6),0)),IF(6&gt;IF('Ayarlar'!$B$7&lt;=0,99,ROUNDUP(MAX('Proje girdileri'!AC37,ROUNDUP('Proje girdileri'!AD37/'Ayarlar'!$B$7,0))/(52/12),0)),1,0))*('Proje girdileri'!Y37*(1-'Proje girdileri'!AA37-'Proje girdileri'!AB37)-'Proje girdileri'!Z37))-'Proje girdileri'!AJ37)</x:f>
        <x:v>116.12499999999997</x:v>
      </x:c>
      <x:c r="H37" s="24" t="n">
        <x:f>IF(7&gt;'Ayarlar'!$B$6,0,IF(MAX(0,'Ayarlar'!$B$6-IF('Ayarlar'!$B$7&lt;=0,99,ROUNDUP(MAX('Proje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girdileri'!AD37/'Ayarlar'!$B$7,0))/(52/12),0)),7-1&lt;'Proje girdileri'!AH37),POWER(1-'Proje girdileri'!AT37,7-1),0)+IF(AND(2&gt;IF('Ayarlar'!$B$7&lt;=0,99,ROUNDUP(MAX('Proje girdileri'!AC37,ROUNDUP('Proje girdileri'!AD37/'Ayarlar'!$B$7,0))/(52/12),0)),7-2&lt;'Proje girdileri'!AH37),POWER(1-'Proje girdileri'!AT37,7-2),0)+IF(AND(3&gt;IF('Ayarlar'!$B$7&lt;=0,99,ROUNDUP(MAX('Proje girdileri'!AC37,ROUNDUP('Proje girdileri'!AD37/'Ayarlar'!$B$7,0))/(52/12),0)),7-3&lt;'Proje girdileri'!AH37),POWER(1-'Proje girdileri'!AT37,7-3),0)+IF(AND(4&gt;IF('Ayarlar'!$B$7&lt;=0,99,ROUNDUP(MAX('Proje girdileri'!AC37,ROUNDUP('Proje girdileri'!AD37/'Ayarlar'!$B$7,0))/(52/12),0)),7-4&lt;'Proje girdileri'!AH37),POWER(1-'Proje girdileri'!AT37,7-4),0)+IF(AND(5&gt;IF('Ayarlar'!$B$7&lt;=0,99,ROUNDUP(MAX('Proje girdileri'!AC37,ROUNDUP('Proje girdileri'!AD37/'Ayarlar'!$B$7,0))/(52/12),0)),7-5&lt;'Proje girdileri'!AH37),POWER(1-'Proje girdileri'!AT37,7-5),0)+IF(AND(6&gt;IF('Ayarlar'!$B$7&lt;=0,99,ROUNDUP(MAX('Proje girdileri'!AC37,ROUNDUP('Proje girdileri'!AD37/'Ayarlar'!$B$7,0))/(52/12),0)),7-6&lt;'Proje girdileri'!AH37),POWER(1-'Proje girdileri'!AT37,7-6),0)+IF(AND(7&gt;IF('Ayarlar'!$B$7&lt;=0,99,ROUNDUP(MAX('Proje girdileri'!AC37,ROUNDUP('Proje girdileri'!AD37/'Ayarlar'!$B$7,0))/(52/12),0)),7-7&lt;'Proje girdileri'!AH37),POWER(1-'Proje girdileri'!AT37,7-7),0)),IF(7&gt;IF('Ayarlar'!$B$7&lt;=0,99,ROUNDUP(MAX('Proje girdileri'!AC37,ROUNDUP('Proje girdileri'!AD37/'Ayarlar'!$B$7,0))/(52/12),0)),1,0))*('Proje girdileri'!Y37*(1-'Proje girdileri'!AA37-'Proje girdileri'!AB37)-'Proje girdileri'!Z37))-'Proje girdileri'!AJ37)</x:f>
        <x:v>0</x:v>
      </x:c>
      <x:c r="I37" s="24" t="n">
        <x:f>IF(8&gt;'Ayarlar'!$B$6,0,IF(MAX(0,'Ayarlar'!$B$6-IF('Ayarlar'!$B$7&lt;=0,99,ROUNDUP(MAX('Proje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girdileri'!AD37/'Ayarlar'!$B$7,0))/(52/12),0)),8-1&lt;'Proje girdileri'!AH37),POWER(1-'Proje girdileri'!AT37,8-1),0)+IF(AND(2&gt;IF('Ayarlar'!$B$7&lt;=0,99,ROUNDUP(MAX('Proje girdileri'!AC37,ROUNDUP('Proje girdileri'!AD37/'Ayarlar'!$B$7,0))/(52/12),0)),8-2&lt;'Proje girdileri'!AH37),POWER(1-'Proje girdileri'!AT37,8-2),0)+IF(AND(3&gt;IF('Ayarlar'!$B$7&lt;=0,99,ROUNDUP(MAX('Proje girdileri'!AC37,ROUNDUP('Proje girdileri'!AD37/'Ayarlar'!$B$7,0))/(52/12),0)),8-3&lt;'Proje girdileri'!AH37),POWER(1-'Proje girdileri'!AT37,8-3),0)+IF(AND(4&gt;IF('Ayarlar'!$B$7&lt;=0,99,ROUNDUP(MAX('Proje girdileri'!AC37,ROUNDUP('Proje girdileri'!AD37/'Ayarlar'!$B$7,0))/(52/12),0)),8-4&lt;'Proje girdileri'!AH37),POWER(1-'Proje girdileri'!AT37,8-4),0)+IF(AND(5&gt;IF('Ayarlar'!$B$7&lt;=0,99,ROUNDUP(MAX('Proje girdileri'!AC37,ROUNDUP('Proje girdileri'!AD37/'Ayarlar'!$B$7,0))/(52/12),0)),8-5&lt;'Proje girdileri'!AH37),POWER(1-'Proje girdileri'!AT37,8-5),0)+IF(AND(6&gt;IF('Ayarlar'!$B$7&lt;=0,99,ROUNDUP(MAX('Proje girdileri'!AC37,ROUNDUP('Proje girdileri'!AD37/'Ayarlar'!$B$7,0))/(52/12),0)),8-6&lt;'Proje girdileri'!AH37),POWER(1-'Proje girdileri'!AT37,8-6),0)+IF(AND(7&gt;IF('Ayarlar'!$B$7&lt;=0,99,ROUNDUP(MAX('Proje girdileri'!AC37,ROUNDUP('Proje girdileri'!AD37/'Ayarlar'!$B$7,0))/(52/12),0)),8-7&lt;'Proje girdileri'!AH37),POWER(1-'Proje girdileri'!AT37,8-7),0)+IF(AND(8&gt;IF('Ayarlar'!$B$7&lt;=0,99,ROUNDUP(MAX('Proje girdileri'!AC37,ROUNDUP('Proje girdileri'!AD37/'Ayarlar'!$B$7,0))/(52/12),0)),8-8&lt;'Proje girdileri'!AH37),POWER(1-'Proje girdileri'!AT37,8-8),0)),IF(8&gt;IF('Ayarlar'!$B$7&lt;=0,99,ROUNDUP(MAX('Proje girdileri'!AC37,ROUNDUP('Proje girdileri'!AD37/'Ayarlar'!$B$7,0))/(52/12),0)),1,0))*('Proje girdileri'!Y37*(1-'Proje girdileri'!AA37-'Proje girdileri'!AB37)-'Proje girdileri'!Z37))-'Proje girdileri'!AJ37)</x:f>
        <x:v>0</x:v>
      </x:c>
      <x:c r="J37" s="24" t="n">
        <x:f>IF(9&gt;'Ayarlar'!$B$6,0,IF(MAX(0,'Ayarlar'!$B$6-IF('Ayarlar'!$B$7&lt;=0,99,ROUNDUP(MAX('Proje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girdileri'!AD37/'Ayarlar'!$B$7,0))/(52/12),0)),9-1&lt;'Proje girdileri'!AH37),POWER(1-'Proje girdileri'!AT37,9-1),0)+IF(AND(2&gt;IF('Ayarlar'!$B$7&lt;=0,99,ROUNDUP(MAX('Proje girdileri'!AC37,ROUNDUP('Proje girdileri'!AD37/'Ayarlar'!$B$7,0))/(52/12),0)),9-2&lt;'Proje girdileri'!AH37),POWER(1-'Proje girdileri'!AT37,9-2),0)+IF(AND(3&gt;IF('Ayarlar'!$B$7&lt;=0,99,ROUNDUP(MAX('Proje girdileri'!AC37,ROUNDUP('Proje girdileri'!AD37/'Ayarlar'!$B$7,0))/(52/12),0)),9-3&lt;'Proje girdileri'!AH37),POWER(1-'Proje girdileri'!AT37,9-3),0)+IF(AND(4&gt;IF('Ayarlar'!$B$7&lt;=0,99,ROUNDUP(MAX('Proje girdileri'!AC37,ROUNDUP('Proje girdileri'!AD37/'Ayarlar'!$B$7,0))/(52/12),0)),9-4&lt;'Proje girdileri'!AH37),POWER(1-'Proje girdileri'!AT37,9-4),0)+IF(AND(5&gt;IF('Ayarlar'!$B$7&lt;=0,99,ROUNDUP(MAX('Proje girdileri'!AC37,ROUNDUP('Proje girdileri'!AD37/'Ayarlar'!$B$7,0))/(52/12),0)),9-5&lt;'Proje girdileri'!AH37),POWER(1-'Proje girdileri'!AT37,9-5),0)+IF(AND(6&gt;IF('Ayarlar'!$B$7&lt;=0,99,ROUNDUP(MAX('Proje girdileri'!AC37,ROUNDUP('Proje girdileri'!AD37/'Ayarlar'!$B$7,0))/(52/12),0)),9-6&lt;'Proje girdileri'!AH37),POWER(1-'Proje girdileri'!AT37,9-6),0)+IF(AND(7&gt;IF('Ayarlar'!$B$7&lt;=0,99,ROUNDUP(MAX('Proje girdileri'!AC37,ROUNDUP('Proje girdileri'!AD37/'Ayarlar'!$B$7,0))/(52/12),0)),9-7&lt;'Proje girdileri'!AH37),POWER(1-'Proje girdileri'!AT37,9-7),0)+IF(AND(8&gt;IF('Ayarlar'!$B$7&lt;=0,99,ROUNDUP(MAX('Proje girdileri'!AC37,ROUNDUP('Proje girdileri'!AD37/'Ayarlar'!$B$7,0))/(52/12),0)),9-8&lt;'Proje girdileri'!AH37),POWER(1-'Proje girdileri'!AT37,9-8),0)+IF(AND(9&gt;IF('Ayarlar'!$B$7&lt;=0,99,ROUNDUP(MAX('Proje girdileri'!AC37,ROUNDUP('Proje girdileri'!AD37/'Ayarlar'!$B$7,0))/(52/12),0)),9-9&lt;'Proje girdileri'!AH37),POWER(1-'Proje girdileri'!AT37,9-9),0)),IF(9&gt;IF('Ayarlar'!$B$7&lt;=0,99,ROUNDUP(MAX('Proje girdileri'!AC37,ROUNDUP('Proje girdileri'!AD37/'Ayarlar'!$B$7,0))/(52/12),0)),1,0))*('Proje girdileri'!Y37*(1-'Proje girdileri'!AA37-'Proje girdileri'!AB37)-'Proje girdileri'!Z37))-'Proje girdileri'!AJ37)</x:f>
        <x:v>0</x:v>
      </x:c>
      <x:c r="K37" s="24" t="n">
        <x:f>IF(10&gt;'Ayarlar'!$B$6,0,IF(MAX(0,'Ayarlar'!$B$6-IF('Ayarlar'!$B$7&lt;=0,99,ROUNDUP(MAX('Proje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girdileri'!AD37/'Ayarlar'!$B$7,0))/(52/12),0)),10-1&lt;'Proje girdileri'!AH37),POWER(1-'Proje girdileri'!AT37,10-1),0)+IF(AND(2&gt;IF('Ayarlar'!$B$7&lt;=0,99,ROUNDUP(MAX('Proje girdileri'!AC37,ROUNDUP('Proje girdileri'!AD37/'Ayarlar'!$B$7,0))/(52/12),0)),10-2&lt;'Proje girdileri'!AH37),POWER(1-'Proje girdileri'!AT37,10-2),0)+IF(AND(3&gt;IF('Ayarlar'!$B$7&lt;=0,99,ROUNDUP(MAX('Proje girdileri'!AC37,ROUNDUP('Proje girdileri'!AD37/'Ayarlar'!$B$7,0))/(52/12),0)),10-3&lt;'Proje girdileri'!AH37),POWER(1-'Proje girdileri'!AT37,10-3),0)+IF(AND(4&gt;IF('Ayarlar'!$B$7&lt;=0,99,ROUNDUP(MAX('Proje girdileri'!AC37,ROUNDUP('Proje girdileri'!AD37/'Ayarlar'!$B$7,0))/(52/12),0)),10-4&lt;'Proje girdileri'!AH37),POWER(1-'Proje girdileri'!AT37,10-4),0)+IF(AND(5&gt;IF('Ayarlar'!$B$7&lt;=0,99,ROUNDUP(MAX('Proje girdileri'!AC37,ROUNDUP('Proje girdileri'!AD37/'Ayarlar'!$B$7,0))/(52/12),0)),10-5&lt;'Proje girdileri'!AH37),POWER(1-'Proje girdileri'!AT37,10-5),0)+IF(AND(6&gt;IF('Ayarlar'!$B$7&lt;=0,99,ROUNDUP(MAX('Proje girdileri'!AC37,ROUNDUP('Proje girdileri'!AD37/'Ayarlar'!$B$7,0))/(52/12),0)),10-6&lt;'Proje girdileri'!AH37),POWER(1-'Proje girdileri'!AT37,10-6),0)+IF(AND(7&gt;IF('Ayarlar'!$B$7&lt;=0,99,ROUNDUP(MAX('Proje girdileri'!AC37,ROUNDUP('Proje girdileri'!AD37/'Ayarlar'!$B$7,0))/(52/12),0)),10-7&lt;'Proje girdileri'!AH37),POWER(1-'Proje girdileri'!AT37,10-7),0)+IF(AND(8&gt;IF('Ayarlar'!$B$7&lt;=0,99,ROUNDUP(MAX('Proje girdileri'!AC37,ROUNDUP('Proje girdileri'!AD37/'Ayarlar'!$B$7,0))/(52/12),0)),10-8&lt;'Proje girdileri'!AH37),POWER(1-'Proje girdileri'!AT37,10-8),0)+IF(AND(9&gt;IF('Ayarlar'!$B$7&lt;=0,99,ROUNDUP(MAX('Proje girdileri'!AC37,ROUNDUP('Proje girdileri'!AD37/'Ayarlar'!$B$7,0))/(52/12),0)),10-9&lt;'Proje girdileri'!AH37),POWER(1-'Proje girdileri'!AT37,10-9),0)+IF(AND(10&gt;IF('Ayarlar'!$B$7&lt;=0,99,ROUNDUP(MAX('Proje girdileri'!AC37,ROUNDUP('Proje girdileri'!AD37/'Ayarlar'!$B$7,0))/(52/12),0)),10-10&lt;'Proje girdileri'!AH37),POWER(1-'Proje girdileri'!AT37,10-10),0)),IF(10&gt;IF('Ayarlar'!$B$7&lt;=0,99,ROUNDUP(MAX('Proje girdileri'!AC37,ROUNDUP('Proje girdileri'!AD37/'Ayarlar'!$B$7,0))/(52/12),0)),1,0))*('Proje girdileri'!Y37*(1-'Proje girdileri'!AA37-'Proje girdileri'!AB37)-'Proje girdileri'!Z37))-'Proje girdileri'!AJ37)</x:f>
        <x:v>0</x:v>
      </x:c>
      <x:c r="L37" s="24" t="n">
        <x:f>IF(11&gt;'Ayarlar'!$B$6,0,IF(MAX(0,'Ayarlar'!$B$6-IF('Ayarlar'!$B$7&lt;=0,99,ROUNDUP(MAX('Proje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girdileri'!AD37/'Ayarlar'!$B$7,0))/(52/12),0)),11-1&lt;'Proje girdileri'!AH37),POWER(1-'Proje girdileri'!AT37,11-1),0)+IF(AND(2&gt;IF('Ayarlar'!$B$7&lt;=0,99,ROUNDUP(MAX('Proje girdileri'!AC37,ROUNDUP('Proje girdileri'!AD37/'Ayarlar'!$B$7,0))/(52/12),0)),11-2&lt;'Proje girdileri'!AH37),POWER(1-'Proje girdileri'!AT37,11-2),0)+IF(AND(3&gt;IF('Ayarlar'!$B$7&lt;=0,99,ROUNDUP(MAX('Proje girdileri'!AC37,ROUNDUP('Proje girdileri'!AD37/'Ayarlar'!$B$7,0))/(52/12),0)),11-3&lt;'Proje girdileri'!AH37),POWER(1-'Proje girdileri'!AT37,11-3),0)+IF(AND(4&gt;IF('Ayarlar'!$B$7&lt;=0,99,ROUNDUP(MAX('Proje girdileri'!AC37,ROUNDUP('Proje girdileri'!AD37/'Ayarlar'!$B$7,0))/(52/12),0)),11-4&lt;'Proje girdileri'!AH37),POWER(1-'Proje girdileri'!AT37,11-4),0)+IF(AND(5&gt;IF('Ayarlar'!$B$7&lt;=0,99,ROUNDUP(MAX('Proje girdileri'!AC37,ROUNDUP('Proje girdileri'!AD37/'Ayarlar'!$B$7,0))/(52/12),0)),11-5&lt;'Proje girdileri'!AH37),POWER(1-'Proje girdileri'!AT37,11-5),0)+IF(AND(6&gt;IF('Ayarlar'!$B$7&lt;=0,99,ROUNDUP(MAX('Proje girdileri'!AC37,ROUNDUP('Proje girdileri'!AD37/'Ayarlar'!$B$7,0))/(52/12),0)),11-6&lt;'Proje girdileri'!AH37),POWER(1-'Proje girdileri'!AT37,11-6),0)+IF(AND(7&gt;IF('Ayarlar'!$B$7&lt;=0,99,ROUNDUP(MAX('Proje girdileri'!AC37,ROUNDUP('Proje girdileri'!AD37/'Ayarlar'!$B$7,0))/(52/12),0)),11-7&lt;'Proje girdileri'!AH37),POWER(1-'Proje girdileri'!AT37,11-7),0)+IF(AND(8&gt;IF('Ayarlar'!$B$7&lt;=0,99,ROUNDUP(MAX('Proje girdileri'!AC37,ROUNDUP('Proje girdileri'!AD37/'Ayarlar'!$B$7,0))/(52/12),0)),11-8&lt;'Proje girdileri'!AH37),POWER(1-'Proje girdileri'!AT37,11-8),0)+IF(AND(9&gt;IF('Ayarlar'!$B$7&lt;=0,99,ROUNDUP(MAX('Proje girdileri'!AC37,ROUNDUP('Proje girdileri'!AD37/'Ayarlar'!$B$7,0))/(52/12),0)),11-9&lt;'Proje girdileri'!AH37),POWER(1-'Proje girdileri'!AT37,11-9),0)+IF(AND(10&gt;IF('Ayarlar'!$B$7&lt;=0,99,ROUNDUP(MAX('Proje girdileri'!AC37,ROUNDUP('Proje girdileri'!AD37/'Ayarlar'!$B$7,0))/(52/12),0)),11-10&lt;'Proje girdileri'!AH37),POWER(1-'Proje girdileri'!AT37,11-10),0)+IF(AND(11&gt;IF('Ayarlar'!$B$7&lt;=0,99,ROUNDUP(MAX('Proje girdileri'!AC37,ROUNDUP('Proje girdileri'!AD37/'Ayarlar'!$B$7,0))/(52/12),0)),11-11&lt;'Proje girdileri'!AH37),POWER(1-'Proje girdileri'!AT37,11-11),0)),IF(11&gt;IF('Ayarlar'!$B$7&lt;=0,99,ROUNDUP(MAX('Proje girdileri'!AC37,ROUNDUP('Proje girdileri'!AD37/'Ayarlar'!$B$7,0))/(52/12),0)),1,0))*('Proje girdileri'!Y37*(1-'Proje girdileri'!AA37-'Proje girdileri'!AB37)-'Proje girdileri'!Z37))-'Proje girdileri'!AJ37)</x:f>
        <x:v>0</x:v>
      </x:c>
      <x:c r="M37" s="24" t="n">
        <x:f>IF(12&gt;'Ayarlar'!$B$6,0,IF(MAX(0,'Ayarlar'!$B$6-IF('Ayarlar'!$B$7&lt;=0,99,ROUNDUP(MAX('Proje girdileri'!AC37,ROUNDUP('Proje girdileri'!AD37/'Ayarlar'!$B$7,0))/(52/12),0)))=0,0,'Hesap'!I37/MAX(0,'Ayarlar'!$B$6-IF('Ayarlar'!$B$7&lt;=0,99,ROUNDUP(MAX('Proje girdileri'!AC37,ROUNDUP('Proje girdileri'!AD37/'Ayarlar'!$B$7,0))/(52/12),0)))*IF('Proje girdileri'!C37="recurring",(IF(AND(1&gt;IF('Ayarlar'!$B$7&lt;=0,99,ROUNDUP(MAX('Proje girdileri'!AC37,ROUNDUP('Proje girdileri'!AD37/'Ayarlar'!$B$7,0))/(52/12),0)),12-1&lt;'Proje girdileri'!AH37),POWER(1-'Proje girdileri'!AT37,12-1),0)+IF(AND(2&gt;IF('Ayarlar'!$B$7&lt;=0,99,ROUNDUP(MAX('Proje girdileri'!AC37,ROUNDUP('Proje girdileri'!AD37/'Ayarlar'!$B$7,0))/(52/12),0)),12-2&lt;'Proje girdileri'!AH37),POWER(1-'Proje girdileri'!AT37,12-2),0)+IF(AND(3&gt;IF('Ayarlar'!$B$7&lt;=0,99,ROUNDUP(MAX('Proje girdileri'!AC37,ROUNDUP('Proje girdileri'!AD37/'Ayarlar'!$B$7,0))/(52/12),0)),12-3&lt;'Proje girdileri'!AH37),POWER(1-'Proje girdileri'!AT37,12-3),0)+IF(AND(4&gt;IF('Ayarlar'!$B$7&lt;=0,99,ROUNDUP(MAX('Proje girdileri'!AC37,ROUNDUP('Proje girdileri'!AD37/'Ayarlar'!$B$7,0))/(52/12),0)),12-4&lt;'Proje girdileri'!AH37),POWER(1-'Proje girdileri'!AT37,12-4),0)+IF(AND(5&gt;IF('Ayarlar'!$B$7&lt;=0,99,ROUNDUP(MAX('Proje girdileri'!AC37,ROUNDUP('Proje girdileri'!AD37/'Ayarlar'!$B$7,0))/(52/12),0)),12-5&lt;'Proje girdileri'!AH37),POWER(1-'Proje girdileri'!AT37,12-5),0)+IF(AND(6&gt;IF('Ayarlar'!$B$7&lt;=0,99,ROUNDUP(MAX('Proje girdileri'!AC37,ROUNDUP('Proje girdileri'!AD37/'Ayarlar'!$B$7,0))/(52/12),0)),12-6&lt;'Proje girdileri'!AH37),POWER(1-'Proje girdileri'!AT37,12-6),0)+IF(AND(7&gt;IF('Ayarlar'!$B$7&lt;=0,99,ROUNDUP(MAX('Proje girdileri'!AC37,ROUNDUP('Proje girdileri'!AD37/'Ayarlar'!$B$7,0))/(52/12),0)),12-7&lt;'Proje girdileri'!AH37),POWER(1-'Proje girdileri'!AT37,12-7),0)+IF(AND(8&gt;IF('Ayarlar'!$B$7&lt;=0,99,ROUNDUP(MAX('Proje girdileri'!AC37,ROUNDUP('Proje girdileri'!AD37/'Ayarlar'!$B$7,0))/(52/12),0)),12-8&lt;'Proje girdileri'!AH37),POWER(1-'Proje girdileri'!AT37,12-8),0)+IF(AND(9&gt;IF('Ayarlar'!$B$7&lt;=0,99,ROUNDUP(MAX('Proje girdileri'!AC37,ROUNDUP('Proje girdileri'!AD37/'Ayarlar'!$B$7,0))/(52/12),0)),12-9&lt;'Proje girdileri'!AH37),POWER(1-'Proje girdileri'!AT37,12-9),0)+IF(AND(10&gt;IF('Ayarlar'!$B$7&lt;=0,99,ROUNDUP(MAX('Proje girdileri'!AC37,ROUNDUP('Proje girdileri'!AD37/'Ayarlar'!$B$7,0))/(52/12),0)),12-10&lt;'Proje girdileri'!AH37),POWER(1-'Proje girdileri'!AT37,12-10),0)+IF(AND(11&gt;IF('Ayarlar'!$B$7&lt;=0,99,ROUNDUP(MAX('Proje girdileri'!AC37,ROUNDUP('Proje girdileri'!AD37/'Ayarlar'!$B$7,0))/(52/12),0)),12-11&lt;'Proje girdileri'!AH37),POWER(1-'Proje girdileri'!AT37,12-11),0)+IF(AND(12&gt;IF('Ayarlar'!$B$7&lt;=0,99,ROUNDUP(MAX('Proje girdileri'!AC37,ROUNDUP('Proje girdileri'!AD37/'Ayarlar'!$B$7,0))/(52/12),0)),12-12&lt;'Proje girdileri'!AH37),POWER(1-'Proje girdileri'!AT37,12-12),0)),IF(12&gt;IF('Ayarlar'!$B$7&lt;=0,99,ROUNDUP(MAX('Proje girdileri'!AC37,ROUNDUP('Proje girdileri'!AD37/'Ayarlar'!$B$7,0))/(52/12),0)),1,0))*('Proje girdileri'!Y37*(1-'Proje girdileri'!AA37-'Proje girdileri'!AB37)-'Proje girdileri'!Z37))-'Proje girdileri'!AJ37)</x:f>
        <x:v>0</x:v>
      </x:c>
      <x:c r="N37" s="24" t="n">
        <x:f>SUM(B37:M37)</x:f>
        <x:v>373.4999999999999</x:v>
      </x:c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</x:row>
    <x:row r="38" ht="24" customHeight="1">
      <x:c r="A38" s="2" t="str">
        <x:f>'Hesap'!B38</x:f>
        <x:v>QRAL kaynak export</x:v>
      </x:c>
      <x:c r="B38" s="24" t="n">
        <x:f>IF(1&gt;'Ayarlar'!$B$6,0,IF(MAX(0,'Ayarlar'!$B$6-IF('Ayarlar'!$B$7&lt;=0,99,ROUNDUP(MAX('Proje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girdileri'!AD38/'Ayarlar'!$B$7,0))/(52/12),0)),1-1&lt;'Proje girdileri'!AH38),POWER(1-'Proje girdileri'!AT38,1-1),0)),IF(1&gt;IF('Ayarlar'!$B$7&lt;=0,99,ROUNDUP(MAX('Proje girdileri'!AC38,ROUNDUP('Proje girdileri'!AD38/'Ayarlar'!$B$7,0))/(52/12),0)),1,0))*('Proje girdileri'!Y38*(1-'Proje girdileri'!AA38-'Proje girdileri'!AB38)-'Proje girdileri'!Z38))-'Proje girdileri'!AJ38-'Proje girdileri'!AI38)</x:f>
        <x:v>-83</x:v>
      </x:c>
      <x:c r="C38" s="24" t="n">
        <x:f>IF(2&gt;'Ayarlar'!$B$6,0,IF(MAX(0,'Ayarlar'!$B$6-IF('Ayarlar'!$B$7&lt;=0,99,ROUNDUP(MAX('Proje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girdileri'!AD38/'Ayarlar'!$B$7,0))/(52/12),0)),2-1&lt;'Proje girdileri'!AH38),POWER(1-'Proje girdileri'!AT38,2-1),0)+IF(AND(2&gt;IF('Ayarlar'!$B$7&lt;=0,99,ROUNDUP(MAX('Proje girdileri'!AC38,ROUNDUP('Proje girdileri'!AD38/'Ayarlar'!$B$7,0))/(52/12),0)),2-2&lt;'Proje girdileri'!AH38),POWER(1-'Proje girdileri'!AT38,2-2),0)),IF(2&gt;IF('Ayarlar'!$B$7&lt;=0,99,ROUNDUP(MAX('Proje girdileri'!AC38,ROUNDUP('Proje girdileri'!AD38/'Ayarlar'!$B$7,0))/(52/12),0)),1,0))*('Proje girdileri'!Y38*(1-'Proje girdileri'!AA38-'Proje girdileri'!AB38)-'Proje girdileri'!Z38))-'Proje girdileri'!AJ38)</x:f>
        <x:v>-8</x:v>
      </x:c>
      <x:c r="D38" s="24" t="n">
        <x:f>IF(3&gt;'Ayarlar'!$B$6,0,IF(MAX(0,'Ayarlar'!$B$6-IF('Ayarlar'!$B$7&lt;=0,99,ROUNDUP(MAX('Proje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girdileri'!AD38/'Ayarlar'!$B$7,0))/(52/12),0)),3-1&lt;'Proje girdileri'!AH38),POWER(1-'Proje girdileri'!AT38,3-1),0)+IF(AND(2&gt;IF('Ayarlar'!$B$7&lt;=0,99,ROUNDUP(MAX('Proje girdileri'!AC38,ROUNDUP('Proje girdileri'!AD38/'Ayarlar'!$B$7,0))/(52/12),0)),3-2&lt;'Proje girdileri'!AH38),POWER(1-'Proje girdileri'!AT38,3-2),0)+IF(AND(3&gt;IF('Ayarlar'!$B$7&lt;=0,99,ROUNDUP(MAX('Proje girdileri'!AC38,ROUNDUP('Proje girdileri'!AD38/'Ayarlar'!$B$7,0))/(52/12),0)),3-3&lt;'Proje girdileri'!AH38),POWER(1-'Proje girdileri'!AT38,3-3),0)),IF(3&gt;IF('Ayarlar'!$B$7&lt;=0,99,ROUNDUP(MAX('Proje girdileri'!AC38,ROUNDUP('Proje girdileri'!AD38/'Ayarlar'!$B$7,0))/(52/12),0)),1,0))*('Proje girdileri'!Y38*(1-'Proje girdileri'!AA38-'Proje girdileri'!AB38)-'Proje girdileri'!Z38))-'Proje girdileri'!AJ38)</x:f>
        <x:v>82.37499999999999</x:v>
      </x:c>
      <x:c r="E38" s="24" t="n">
        <x:f>IF(4&gt;'Ayarlar'!$B$6,0,IF(MAX(0,'Ayarlar'!$B$6-IF('Ayarlar'!$B$7&lt;=0,99,ROUNDUP(MAX('Proje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girdileri'!AD38/'Ayarlar'!$B$7,0))/(52/12),0)),4-1&lt;'Proje girdileri'!AH38),POWER(1-'Proje girdileri'!AT38,4-1),0)+IF(AND(2&gt;IF('Ayarlar'!$B$7&lt;=0,99,ROUNDUP(MAX('Proje girdileri'!AC38,ROUNDUP('Proje girdileri'!AD38/'Ayarlar'!$B$7,0))/(52/12),0)),4-2&lt;'Proje girdileri'!AH38),POWER(1-'Proje girdileri'!AT38,4-2),0)+IF(AND(3&gt;IF('Ayarlar'!$B$7&lt;=0,99,ROUNDUP(MAX('Proje girdileri'!AC38,ROUNDUP('Proje girdileri'!AD38/'Ayarlar'!$B$7,0))/(52/12),0)),4-3&lt;'Proje girdileri'!AH38),POWER(1-'Proje girdileri'!AT38,4-3),0)+IF(AND(4&gt;IF('Ayarlar'!$B$7&lt;=0,99,ROUNDUP(MAX('Proje girdileri'!AC38,ROUNDUP('Proje girdileri'!AD38/'Ayarlar'!$B$7,0))/(52/12),0)),4-4&lt;'Proje girdileri'!AH38),POWER(1-'Proje girdileri'!AT38,4-4),0)),IF(4&gt;IF('Ayarlar'!$B$7&lt;=0,99,ROUNDUP(MAX('Proje girdileri'!AC38,ROUNDUP('Proje girdileri'!AD38/'Ayarlar'!$B$7,0))/(52/12),0)),1,0))*('Proje girdileri'!Y38*(1-'Proje girdileri'!AA38-'Proje girdileri'!AB38)-'Proje girdileri'!Z38))-'Proje girdileri'!AJ38)</x:f>
        <x:v>82.37499999999999</x:v>
      </x:c>
      <x:c r="F38" s="24" t="n">
        <x:f>IF(5&gt;'Ayarlar'!$B$6,0,IF(MAX(0,'Ayarlar'!$B$6-IF('Ayarlar'!$B$7&lt;=0,99,ROUNDUP(MAX('Proje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girdileri'!AD38/'Ayarlar'!$B$7,0))/(52/12),0)),5-1&lt;'Proje girdileri'!AH38),POWER(1-'Proje girdileri'!AT38,5-1),0)+IF(AND(2&gt;IF('Ayarlar'!$B$7&lt;=0,99,ROUNDUP(MAX('Proje girdileri'!AC38,ROUNDUP('Proje girdileri'!AD38/'Ayarlar'!$B$7,0))/(52/12),0)),5-2&lt;'Proje girdileri'!AH38),POWER(1-'Proje girdileri'!AT38,5-2),0)+IF(AND(3&gt;IF('Ayarlar'!$B$7&lt;=0,99,ROUNDUP(MAX('Proje girdileri'!AC38,ROUNDUP('Proje girdileri'!AD38/'Ayarlar'!$B$7,0))/(52/12),0)),5-3&lt;'Proje girdileri'!AH38),POWER(1-'Proje girdileri'!AT38,5-3),0)+IF(AND(4&gt;IF('Ayarlar'!$B$7&lt;=0,99,ROUNDUP(MAX('Proje girdileri'!AC38,ROUNDUP('Proje girdileri'!AD38/'Ayarlar'!$B$7,0))/(52/12),0)),5-4&lt;'Proje girdileri'!AH38),POWER(1-'Proje girdileri'!AT38,5-4),0)+IF(AND(5&gt;IF('Ayarlar'!$B$7&lt;=0,99,ROUNDUP(MAX('Proje girdileri'!AC38,ROUNDUP('Proje girdileri'!AD38/'Ayarlar'!$B$7,0))/(52/12),0)),5-5&lt;'Proje girdileri'!AH38),POWER(1-'Proje girdileri'!AT38,5-5),0)),IF(5&gt;IF('Ayarlar'!$B$7&lt;=0,99,ROUNDUP(MAX('Proje girdileri'!AC38,ROUNDUP('Proje girdileri'!AD38/'Ayarlar'!$B$7,0))/(52/12),0)),1,0))*('Proje girdileri'!Y38*(1-'Proje girdileri'!AA38-'Proje girdileri'!AB38)-'Proje girdileri'!Z38))-'Proje girdileri'!AJ38)</x:f>
        <x:v>82.37499999999999</x:v>
      </x:c>
      <x:c r="G38" s="24" t="n">
        <x:f>IF(6&gt;'Ayarlar'!$B$6,0,IF(MAX(0,'Ayarlar'!$B$6-IF('Ayarlar'!$B$7&lt;=0,99,ROUNDUP(MAX('Proje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girdileri'!AD38/'Ayarlar'!$B$7,0))/(52/12),0)),6-1&lt;'Proje girdileri'!AH38),POWER(1-'Proje girdileri'!AT38,6-1),0)+IF(AND(2&gt;IF('Ayarlar'!$B$7&lt;=0,99,ROUNDUP(MAX('Proje girdileri'!AC38,ROUNDUP('Proje girdileri'!AD38/'Ayarlar'!$B$7,0))/(52/12),0)),6-2&lt;'Proje girdileri'!AH38),POWER(1-'Proje girdileri'!AT38,6-2),0)+IF(AND(3&gt;IF('Ayarlar'!$B$7&lt;=0,99,ROUNDUP(MAX('Proje girdileri'!AC38,ROUNDUP('Proje girdileri'!AD38/'Ayarlar'!$B$7,0))/(52/12),0)),6-3&lt;'Proje girdileri'!AH38),POWER(1-'Proje girdileri'!AT38,6-3),0)+IF(AND(4&gt;IF('Ayarlar'!$B$7&lt;=0,99,ROUNDUP(MAX('Proje girdileri'!AC38,ROUNDUP('Proje girdileri'!AD38/'Ayarlar'!$B$7,0))/(52/12),0)),6-4&lt;'Proje girdileri'!AH38),POWER(1-'Proje girdileri'!AT38,6-4),0)+IF(AND(5&gt;IF('Ayarlar'!$B$7&lt;=0,99,ROUNDUP(MAX('Proje girdileri'!AC38,ROUNDUP('Proje girdileri'!AD38/'Ayarlar'!$B$7,0))/(52/12),0)),6-5&lt;'Proje girdileri'!AH38),POWER(1-'Proje girdileri'!AT38,6-5),0)+IF(AND(6&gt;IF('Ayarlar'!$B$7&lt;=0,99,ROUNDUP(MAX('Proje girdileri'!AC38,ROUNDUP('Proje girdileri'!AD38/'Ayarlar'!$B$7,0))/(52/12),0)),6-6&lt;'Proje girdileri'!AH38),POWER(1-'Proje girdileri'!AT38,6-6),0)),IF(6&gt;IF('Ayarlar'!$B$7&lt;=0,99,ROUNDUP(MAX('Proje girdileri'!AC38,ROUNDUP('Proje girdileri'!AD38/'Ayarlar'!$B$7,0))/(52/12),0)),1,0))*('Proje girdileri'!Y38*(1-'Proje girdileri'!AA38-'Proje girdileri'!AB38)-'Proje girdileri'!Z38))-'Proje girdileri'!AJ38)</x:f>
        <x:v>82.37499999999999</x:v>
      </x:c>
      <x:c r="H38" s="24" t="n">
        <x:f>IF(7&gt;'Ayarlar'!$B$6,0,IF(MAX(0,'Ayarlar'!$B$6-IF('Ayarlar'!$B$7&lt;=0,99,ROUNDUP(MAX('Proje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girdileri'!AD38/'Ayarlar'!$B$7,0))/(52/12),0)),7-1&lt;'Proje girdileri'!AH38),POWER(1-'Proje girdileri'!AT38,7-1),0)+IF(AND(2&gt;IF('Ayarlar'!$B$7&lt;=0,99,ROUNDUP(MAX('Proje girdileri'!AC38,ROUNDUP('Proje girdileri'!AD38/'Ayarlar'!$B$7,0))/(52/12),0)),7-2&lt;'Proje girdileri'!AH38),POWER(1-'Proje girdileri'!AT38,7-2),0)+IF(AND(3&gt;IF('Ayarlar'!$B$7&lt;=0,99,ROUNDUP(MAX('Proje girdileri'!AC38,ROUNDUP('Proje girdileri'!AD38/'Ayarlar'!$B$7,0))/(52/12),0)),7-3&lt;'Proje girdileri'!AH38),POWER(1-'Proje girdileri'!AT38,7-3),0)+IF(AND(4&gt;IF('Ayarlar'!$B$7&lt;=0,99,ROUNDUP(MAX('Proje girdileri'!AC38,ROUNDUP('Proje girdileri'!AD38/'Ayarlar'!$B$7,0))/(52/12),0)),7-4&lt;'Proje girdileri'!AH38),POWER(1-'Proje girdileri'!AT38,7-4),0)+IF(AND(5&gt;IF('Ayarlar'!$B$7&lt;=0,99,ROUNDUP(MAX('Proje girdileri'!AC38,ROUNDUP('Proje girdileri'!AD38/'Ayarlar'!$B$7,0))/(52/12),0)),7-5&lt;'Proje girdileri'!AH38),POWER(1-'Proje girdileri'!AT38,7-5),0)+IF(AND(6&gt;IF('Ayarlar'!$B$7&lt;=0,99,ROUNDUP(MAX('Proje girdileri'!AC38,ROUNDUP('Proje girdileri'!AD38/'Ayarlar'!$B$7,0))/(52/12),0)),7-6&lt;'Proje girdileri'!AH38),POWER(1-'Proje girdileri'!AT38,7-6),0)+IF(AND(7&gt;IF('Ayarlar'!$B$7&lt;=0,99,ROUNDUP(MAX('Proje girdileri'!AC38,ROUNDUP('Proje girdileri'!AD38/'Ayarlar'!$B$7,0))/(52/12),0)),7-7&lt;'Proje girdileri'!AH38),POWER(1-'Proje girdileri'!AT38,7-7),0)),IF(7&gt;IF('Ayarlar'!$B$7&lt;=0,99,ROUNDUP(MAX('Proje girdileri'!AC38,ROUNDUP('Proje girdileri'!AD38/'Ayarlar'!$B$7,0))/(52/12),0)),1,0))*('Proje girdileri'!Y38*(1-'Proje girdileri'!AA38-'Proje girdileri'!AB38)-'Proje girdileri'!Z38))-'Proje girdileri'!AJ38)</x:f>
        <x:v>0</x:v>
      </x:c>
      <x:c r="I38" s="24" t="n">
        <x:f>IF(8&gt;'Ayarlar'!$B$6,0,IF(MAX(0,'Ayarlar'!$B$6-IF('Ayarlar'!$B$7&lt;=0,99,ROUNDUP(MAX('Proje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girdileri'!AD38/'Ayarlar'!$B$7,0))/(52/12),0)),8-1&lt;'Proje girdileri'!AH38),POWER(1-'Proje girdileri'!AT38,8-1),0)+IF(AND(2&gt;IF('Ayarlar'!$B$7&lt;=0,99,ROUNDUP(MAX('Proje girdileri'!AC38,ROUNDUP('Proje girdileri'!AD38/'Ayarlar'!$B$7,0))/(52/12),0)),8-2&lt;'Proje girdileri'!AH38),POWER(1-'Proje girdileri'!AT38,8-2),0)+IF(AND(3&gt;IF('Ayarlar'!$B$7&lt;=0,99,ROUNDUP(MAX('Proje girdileri'!AC38,ROUNDUP('Proje girdileri'!AD38/'Ayarlar'!$B$7,0))/(52/12),0)),8-3&lt;'Proje girdileri'!AH38),POWER(1-'Proje girdileri'!AT38,8-3),0)+IF(AND(4&gt;IF('Ayarlar'!$B$7&lt;=0,99,ROUNDUP(MAX('Proje girdileri'!AC38,ROUNDUP('Proje girdileri'!AD38/'Ayarlar'!$B$7,0))/(52/12),0)),8-4&lt;'Proje girdileri'!AH38),POWER(1-'Proje girdileri'!AT38,8-4),0)+IF(AND(5&gt;IF('Ayarlar'!$B$7&lt;=0,99,ROUNDUP(MAX('Proje girdileri'!AC38,ROUNDUP('Proje girdileri'!AD38/'Ayarlar'!$B$7,0))/(52/12),0)),8-5&lt;'Proje girdileri'!AH38),POWER(1-'Proje girdileri'!AT38,8-5),0)+IF(AND(6&gt;IF('Ayarlar'!$B$7&lt;=0,99,ROUNDUP(MAX('Proje girdileri'!AC38,ROUNDUP('Proje girdileri'!AD38/'Ayarlar'!$B$7,0))/(52/12),0)),8-6&lt;'Proje girdileri'!AH38),POWER(1-'Proje girdileri'!AT38,8-6),0)+IF(AND(7&gt;IF('Ayarlar'!$B$7&lt;=0,99,ROUNDUP(MAX('Proje girdileri'!AC38,ROUNDUP('Proje girdileri'!AD38/'Ayarlar'!$B$7,0))/(52/12),0)),8-7&lt;'Proje girdileri'!AH38),POWER(1-'Proje girdileri'!AT38,8-7),0)+IF(AND(8&gt;IF('Ayarlar'!$B$7&lt;=0,99,ROUNDUP(MAX('Proje girdileri'!AC38,ROUNDUP('Proje girdileri'!AD38/'Ayarlar'!$B$7,0))/(52/12),0)),8-8&lt;'Proje girdileri'!AH38),POWER(1-'Proje girdileri'!AT38,8-8),0)),IF(8&gt;IF('Ayarlar'!$B$7&lt;=0,99,ROUNDUP(MAX('Proje girdileri'!AC38,ROUNDUP('Proje girdileri'!AD38/'Ayarlar'!$B$7,0))/(52/12),0)),1,0))*('Proje girdileri'!Y38*(1-'Proje girdileri'!AA38-'Proje girdileri'!AB38)-'Proje girdileri'!Z38))-'Proje girdileri'!AJ38)</x:f>
        <x:v>0</x:v>
      </x:c>
      <x:c r="J38" s="24" t="n">
        <x:f>IF(9&gt;'Ayarlar'!$B$6,0,IF(MAX(0,'Ayarlar'!$B$6-IF('Ayarlar'!$B$7&lt;=0,99,ROUNDUP(MAX('Proje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girdileri'!AD38/'Ayarlar'!$B$7,0))/(52/12),0)),9-1&lt;'Proje girdileri'!AH38),POWER(1-'Proje girdileri'!AT38,9-1),0)+IF(AND(2&gt;IF('Ayarlar'!$B$7&lt;=0,99,ROUNDUP(MAX('Proje girdileri'!AC38,ROUNDUP('Proje girdileri'!AD38/'Ayarlar'!$B$7,0))/(52/12),0)),9-2&lt;'Proje girdileri'!AH38),POWER(1-'Proje girdileri'!AT38,9-2),0)+IF(AND(3&gt;IF('Ayarlar'!$B$7&lt;=0,99,ROUNDUP(MAX('Proje girdileri'!AC38,ROUNDUP('Proje girdileri'!AD38/'Ayarlar'!$B$7,0))/(52/12),0)),9-3&lt;'Proje girdileri'!AH38),POWER(1-'Proje girdileri'!AT38,9-3),0)+IF(AND(4&gt;IF('Ayarlar'!$B$7&lt;=0,99,ROUNDUP(MAX('Proje girdileri'!AC38,ROUNDUP('Proje girdileri'!AD38/'Ayarlar'!$B$7,0))/(52/12),0)),9-4&lt;'Proje girdileri'!AH38),POWER(1-'Proje girdileri'!AT38,9-4),0)+IF(AND(5&gt;IF('Ayarlar'!$B$7&lt;=0,99,ROUNDUP(MAX('Proje girdileri'!AC38,ROUNDUP('Proje girdileri'!AD38/'Ayarlar'!$B$7,0))/(52/12),0)),9-5&lt;'Proje girdileri'!AH38),POWER(1-'Proje girdileri'!AT38,9-5),0)+IF(AND(6&gt;IF('Ayarlar'!$B$7&lt;=0,99,ROUNDUP(MAX('Proje girdileri'!AC38,ROUNDUP('Proje girdileri'!AD38/'Ayarlar'!$B$7,0))/(52/12),0)),9-6&lt;'Proje girdileri'!AH38),POWER(1-'Proje girdileri'!AT38,9-6),0)+IF(AND(7&gt;IF('Ayarlar'!$B$7&lt;=0,99,ROUNDUP(MAX('Proje girdileri'!AC38,ROUNDUP('Proje girdileri'!AD38/'Ayarlar'!$B$7,0))/(52/12),0)),9-7&lt;'Proje girdileri'!AH38),POWER(1-'Proje girdileri'!AT38,9-7),0)+IF(AND(8&gt;IF('Ayarlar'!$B$7&lt;=0,99,ROUNDUP(MAX('Proje girdileri'!AC38,ROUNDUP('Proje girdileri'!AD38/'Ayarlar'!$B$7,0))/(52/12),0)),9-8&lt;'Proje girdileri'!AH38),POWER(1-'Proje girdileri'!AT38,9-8),0)+IF(AND(9&gt;IF('Ayarlar'!$B$7&lt;=0,99,ROUNDUP(MAX('Proje girdileri'!AC38,ROUNDUP('Proje girdileri'!AD38/'Ayarlar'!$B$7,0))/(52/12),0)),9-9&lt;'Proje girdileri'!AH38),POWER(1-'Proje girdileri'!AT38,9-9),0)),IF(9&gt;IF('Ayarlar'!$B$7&lt;=0,99,ROUNDUP(MAX('Proje girdileri'!AC38,ROUNDUP('Proje girdileri'!AD38/'Ayarlar'!$B$7,0))/(52/12),0)),1,0))*('Proje girdileri'!Y38*(1-'Proje girdileri'!AA38-'Proje girdileri'!AB38)-'Proje girdileri'!Z38))-'Proje girdileri'!AJ38)</x:f>
        <x:v>0</x:v>
      </x:c>
      <x:c r="K38" s="24" t="n">
        <x:f>IF(10&gt;'Ayarlar'!$B$6,0,IF(MAX(0,'Ayarlar'!$B$6-IF('Ayarlar'!$B$7&lt;=0,99,ROUNDUP(MAX('Proje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girdileri'!AD38/'Ayarlar'!$B$7,0))/(52/12),0)),10-1&lt;'Proje girdileri'!AH38),POWER(1-'Proje girdileri'!AT38,10-1),0)+IF(AND(2&gt;IF('Ayarlar'!$B$7&lt;=0,99,ROUNDUP(MAX('Proje girdileri'!AC38,ROUNDUP('Proje girdileri'!AD38/'Ayarlar'!$B$7,0))/(52/12),0)),10-2&lt;'Proje girdileri'!AH38),POWER(1-'Proje girdileri'!AT38,10-2),0)+IF(AND(3&gt;IF('Ayarlar'!$B$7&lt;=0,99,ROUNDUP(MAX('Proje girdileri'!AC38,ROUNDUP('Proje girdileri'!AD38/'Ayarlar'!$B$7,0))/(52/12),0)),10-3&lt;'Proje girdileri'!AH38),POWER(1-'Proje girdileri'!AT38,10-3),0)+IF(AND(4&gt;IF('Ayarlar'!$B$7&lt;=0,99,ROUNDUP(MAX('Proje girdileri'!AC38,ROUNDUP('Proje girdileri'!AD38/'Ayarlar'!$B$7,0))/(52/12),0)),10-4&lt;'Proje girdileri'!AH38),POWER(1-'Proje girdileri'!AT38,10-4),0)+IF(AND(5&gt;IF('Ayarlar'!$B$7&lt;=0,99,ROUNDUP(MAX('Proje girdileri'!AC38,ROUNDUP('Proje girdileri'!AD38/'Ayarlar'!$B$7,0))/(52/12),0)),10-5&lt;'Proje girdileri'!AH38),POWER(1-'Proje girdileri'!AT38,10-5),0)+IF(AND(6&gt;IF('Ayarlar'!$B$7&lt;=0,99,ROUNDUP(MAX('Proje girdileri'!AC38,ROUNDUP('Proje girdileri'!AD38/'Ayarlar'!$B$7,0))/(52/12),0)),10-6&lt;'Proje girdileri'!AH38),POWER(1-'Proje girdileri'!AT38,10-6),0)+IF(AND(7&gt;IF('Ayarlar'!$B$7&lt;=0,99,ROUNDUP(MAX('Proje girdileri'!AC38,ROUNDUP('Proje girdileri'!AD38/'Ayarlar'!$B$7,0))/(52/12),0)),10-7&lt;'Proje girdileri'!AH38),POWER(1-'Proje girdileri'!AT38,10-7),0)+IF(AND(8&gt;IF('Ayarlar'!$B$7&lt;=0,99,ROUNDUP(MAX('Proje girdileri'!AC38,ROUNDUP('Proje girdileri'!AD38/'Ayarlar'!$B$7,0))/(52/12),0)),10-8&lt;'Proje girdileri'!AH38),POWER(1-'Proje girdileri'!AT38,10-8),0)+IF(AND(9&gt;IF('Ayarlar'!$B$7&lt;=0,99,ROUNDUP(MAX('Proje girdileri'!AC38,ROUNDUP('Proje girdileri'!AD38/'Ayarlar'!$B$7,0))/(52/12),0)),10-9&lt;'Proje girdileri'!AH38),POWER(1-'Proje girdileri'!AT38,10-9),0)+IF(AND(10&gt;IF('Ayarlar'!$B$7&lt;=0,99,ROUNDUP(MAX('Proje girdileri'!AC38,ROUNDUP('Proje girdileri'!AD38/'Ayarlar'!$B$7,0))/(52/12),0)),10-10&lt;'Proje girdileri'!AH38),POWER(1-'Proje girdileri'!AT38,10-10),0)),IF(10&gt;IF('Ayarlar'!$B$7&lt;=0,99,ROUNDUP(MAX('Proje girdileri'!AC38,ROUNDUP('Proje girdileri'!AD38/'Ayarlar'!$B$7,0))/(52/12),0)),1,0))*('Proje girdileri'!Y38*(1-'Proje girdileri'!AA38-'Proje girdileri'!AB38)-'Proje girdileri'!Z38))-'Proje girdileri'!AJ38)</x:f>
        <x:v>0</x:v>
      </x:c>
      <x:c r="L38" s="24" t="n">
        <x:f>IF(11&gt;'Ayarlar'!$B$6,0,IF(MAX(0,'Ayarlar'!$B$6-IF('Ayarlar'!$B$7&lt;=0,99,ROUNDUP(MAX('Proje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girdileri'!AD38/'Ayarlar'!$B$7,0))/(52/12),0)),11-1&lt;'Proje girdileri'!AH38),POWER(1-'Proje girdileri'!AT38,11-1),0)+IF(AND(2&gt;IF('Ayarlar'!$B$7&lt;=0,99,ROUNDUP(MAX('Proje girdileri'!AC38,ROUNDUP('Proje girdileri'!AD38/'Ayarlar'!$B$7,0))/(52/12),0)),11-2&lt;'Proje girdileri'!AH38),POWER(1-'Proje girdileri'!AT38,11-2),0)+IF(AND(3&gt;IF('Ayarlar'!$B$7&lt;=0,99,ROUNDUP(MAX('Proje girdileri'!AC38,ROUNDUP('Proje girdileri'!AD38/'Ayarlar'!$B$7,0))/(52/12),0)),11-3&lt;'Proje girdileri'!AH38),POWER(1-'Proje girdileri'!AT38,11-3),0)+IF(AND(4&gt;IF('Ayarlar'!$B$7&lt;=0,99,ROUNDUP(MAX('Proje girdileri'!AC38,ROUNDUP('Proje girdileri'!AD38/'Ayarlar'!$B$7,0))/(52/12),0)),11-4&lt;'Proje girdileri'!AH38),POWER(1-'Proje girdileri'!AT38,11-4),0)+IF(AND(5&gt;IF('Ayarlar'!$B$7&lt;=0,99,ROUNDUP(MAX('Proje girdileri'!AC38,ROUNDUP('Proje girdileri'!AD38/'Ayarlar'!$B$7,0))/(52/12),0)),11-5&lt;'Proje girdileri'!AH38),POWER(1-'Proje girdileri'!AT38,11-5),0)+IF(AND(6&gt;IF('Ayarlar'!$B$7&lt;=0,99,ROUNDUP(MAX('Proje girdileri'!AC38,ROUNDUP('Proje girdileri'!AD38/'Ayarlar'!$B$7,0))/(52/12),0)),11-6&lt;'Proje girdileri'!AH38),POWER(1-'Proje girdileri'!AT38,11-6),0)+IF(AND(7&gt;IF('Ayarlar'!$B$7&lt;=0,99,ROUNDUP(MAX('Proje girdileri'!AC38,ROUNDUP('Proje girdileri'!AD38/'Ayarlar'!$B$7,0))/(52/12),0)),11-7&lt;'Proje girdileri'!AH38),POWER(1-'Proje girdileri'!AT38,11-7),0)+IF(AND(8&gt;IF('Ayarlar'!$B$7&lt;=0,99,ROUNDUP(MAX('Proje girdileri'!AC38,ROUNDUP('Proje girdileri'!AD38/'Ayarlar'!$B$7,0))/(52/12),0)),11-8&lt;'Proje girdileri'!AH38),POWER(1-'Proje girdileri'!AT38,11-8),0)+IF(AND(9&gt;IF('Ayarlar'!$B$7&lt;=0,99,ROUNDUP(MAX('Proje girdileri'!AC38,ROUNDUP('Proje girdileri'!AD38/'Ayarlar'!$B$7,0))/(52/12),0)),11-9&lt;'Proje girdileri'!AH38),POWER(1-'Proje girdileri'!AT38,11-9),0)+IF(AND(10&gt;IF('Ayarlar'!$B$7&lt;=0,99,ROUNDUP(MAX('Proje girdileri'!AC38,ROUNDUP('Proje girdileri'!AD38/'Ayarlar'!$B$7,0))/(52/12),0)),11-10&lt;'Proje girdileri'!AH38),POWER(1-'Proje girdileri'!AT38,11-10),0)+IF(AND(11&gt;IF('Ayarlar'!$B$7&lt;=0,99,ROUNDUP(MAX('Proje girdileri'!AC38,ROUNDUP('Proje girdileri'!AD38/'Ayarlar'!$B$7,0))/(52/12),0)),11-11&lt;'Proje girdileri'!AH38),POWER(1-'Proje girdileri'!AT38,11-11),0)),IF(11&gt;IF('Ayarlar'!$B$7&lt;=0,99,ROUNDUP(MAX('Proje girdileri'!AC38,ROUNDUP('Proje girdileri'!AD38/'Ayarlar'!$B$7,0))/(52/12),0)),1,0))*('Proje girdileri'!Y38*(1-'Proje girdileri'!AA38-'Proje girdileri'!AB38)-'Proje girdileri'!Z38))-'Proje girdileri'!AJ38)</x:f>
        <x:v>0</x:v>
      </x:c>
      <x:c r="M38" s="24" t="n">
        <x:f>IF(12&gt;'Ayarlar'!$B$6,0,IF(MAX(0,'Ayarlar'!$B$6-IF('Ayarlar'!$B$7&lt;=0,99,ROUNDUP(MAX('Proje girdileri'!AC38,ROUNDUP('Proje girdileri'!AD38/'Ayarlar'!$B$7,0))/(52/12),0)))=0,0,'Hesap'!I38/MAX(0,'Ayarlar'!$B$6-IF('Ayarlar'!$B$7&lt;=0,99,ROUNDUP(MAX('Proje girdileri'!AC38,ROUNDUP('Proje girdileri'!AD38/'Ayarlar'!$B$7,0))/(52/12),0)))*IF('Proje girdileri'!C38="recurring",(IF(AND(1&gt;IF('Ayarlar'!$B$7&lt;=0,99,ROUNDUP(MAX('Proje girdileri'!AC38,ROUNDUP('Proje girdileri'!AD38/'Ayarlar'!$B$7,0))/(52/12),0)),12-1&lt;'Proje girdileri'!AH38),POWER(1-'Proje girdileri'!AT38,12-1),0)+IF(AND(2&gt;IF('Ayarlar'!$B$7&lt;=0,99,ROUNDUP(MAX('Proje girdileri'!AC38,ROUNDUP('Proje girdileri'!AD38/'Ayarlar'!$B$7,0))/(52/12),0)),12-2&lt;'Proje girdileri'!AH38),POWER(1-'Proje girdileri'!AT38,12-2),0)+IF(AND(3&gt;IF('Ayarlar'!$B$7&lt;=0,99,ROUNDUP(MAX('Proje girdileri'!AC38,ROUNDUP('Proje girdileri'!AD38/'Ayarlar'!$B$7,0))/(52/12),0)),12-3&lt;'Proje girdileri'!AH38),POWER(1-'Proje girdileri'!AT38,12-3),0)+IF(AND(4&gt;IF('Ayarlar'!$B$7&lt;=0,99,ROUNDUP(MAX('Proje girdileri'!AC38,ROUNDUP('Proje girdileri'!AD38/'Ayarlar'!$B$7,0))/(52/12),0)),12-4&lt;'Proje girdileri'!AH38),POWER(1-'Proje girdileri'!AT38,12-4),0)+IF(AND(5&gt;IF('Ayarlar'!$B$7&lt;=0,99,ROUNDUP(MAX('Proje girdileri'!AC38,ROUNDUP('Proje girdileri'!AD38/'Ayarlar'!$B$7,0))/(52/12),0)),12-5&lt;'Proje girdileri'!AH38),POWER(1-'Proje girdileri'!AT38,12-5),0)+IF(AND(6&gt;IF('Ayarlar'!$B$7&lt;=0,99,ROUNDUP(MAX('Proje girdileri'!AC38,ROUNDUP('Proje girdileri'!AD38/'Ayarlar'!$B$7,0))/(52/12),0)),12-6&lt;'Proje girdileri'!AH38),POWER(1-'Proje girdileri'!AT38,12-6),0)+IF(AND(7&gt;IF('Ayarlar'!$B$7&lt;=0,99,ROUNDUP(MAX('Proje girdileri'!AC38,ROUNDUP('Proje girdileri'!AD38/'Ayarlar'!$B$7,0))/(52/12),0)),12-7&lt;'Proje girdileri'!AH38),POWER(1-'Proje girdileri'!AT38,12-7),0)+IF(AND(8&gt;IF('Ayarlar'!$B$7&lt;=0,99,ROUNDUP(MAX('Proje girdileri'!AC38,ROUNDUP('Proje girdileri'!AD38/'Ayarlar'!$B$7,0))/(52/12),0)),12-8&lt;'Proje girdileri'!AH38),POWER(1-'Proje girdileri'!AT38,12-8),0)+IF(AND(9&gt;IF('Ayarlar'!$B$7&lt;=0,99,ROUNDUP(MAX('Proje girdileri'!AC38,ROUNDUP('Proje girdileri'!AD38/'Ayarlar'!$B$7,0))/(52/12),0)),12-9&lt;'Proje girdileri'!AH38),POWER(1-'Proje girdileri'!AT38,12-9),0)+IF(AND(10&gt;IF('Ayarlar'!$B$7&lt;=0,99,ROUNDUP(MAX('Proje girdileri'!AC38,ROUNDUP('Proje girdileri'!AD38/'Ayarlar'!$B$7,0))/(52/12),0)),12-10&lt;'Proje girdileri'!AH38),POWER(1-'Proje girdileri'!AT38,12-10),0)+IF(AND(11&gt;IF('Ayarlar'!$B$7&lt;=0,99,ROUNDUP(MAX('Proje girdileri'!AC38,ROUNDUP('Proje girdileri'!AD38/'Ayarlar'!$B$7,0))/(52/12),0)),12-11&lt;'Proje girdileri'!AH38),POWER(1-'Proje girdileri'!AT38,12-11),0)+IF(AND(12&gt;IF('Ayarlar'!$B$7&lt;=0,99,ROUNDUP(MAX('Proje girdileri'!AC38,ROUNDUP('Proje girdileri'!AD38/'Ayarlar'!$B$7,0))/(52/12),0)),12-12&lt;'Proje girdileri'!AH38),POWER(1-'Proje girdileri'!AT38,12-12),0)),IF(12&gt;IF('Ayarlar'!$B$7&lt;=0,99,ROUNDUP(MAX('Proje girdileri'!AC38,ROUNDUP('Proje girdileri'!AD38/'Ayarlar'!$B$7,0))/(52/12),0)),1,0))*('Proje girdileri'!Y38*(1-'Proje girdileri'!AA38-'Proje girdileri'!AB38)-'Proje girdileri'!Z38))-'Proje girdileri'!AJ38)</x:f>
        <x:v>0</x:v>
      </x:c>
      <x:c r="N38" s="24" t="n">
        <x:f>SUM(B38:M38)</x:f>
        <x:v>238.49999999999994</x:v>
      </x:c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</x:row>
    <x:row r="39" ht="24" customHeight="1">
      <x:c r="A39" s="2" t="str">
        <x:f>'Hesap'!B39</x:f>
        <x:v>Signator takım teslimi</x:v>
      </x:c>
      <x:c r="B39" s="24" t="n">
        <x:f>IF(1&gt;'Ayarlar'!$B$6,0,IF(MAX(0,'Ayarlar'!$B$6-IF('Ayarlar'!$B$7&lt;=0,99,ROUNDUP(MAX('Proje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girdileri'!AD39/'Ayarlar'!$B$7,0))/(52/12),0)),1-1&lt;'Proje girdileri'!AH39),POWER(1-'Proje girdileri'!AT39,1-1),0)),IF(1&gt;IF('Ayarlar'!$B$7&lt;=0,99,ROUNDUP(MAX('Proje girdileri'!AC39,ROUNDUP('Proje girdileri'!AD39/'Ayarlar'!$B$7,0))/(52/12),0)),1,0))*('Proje girdileri'!Y39*(1-'Proje girdileri'!AA39-'Proje girdileri'!AB39)-'Proje girdileri'!Z39))-'Proje girdileri'!AJ39-'Proje girdileri'!AI39)</x:f>
        <x:v>-110</x:v>
      </x:c>
      <x:c r="C39" s="24" t="n">
        <x:f>IF(2&gt;'Ayarlar'!$B$6,0,IF(MAX(0,'Ayarlar'!$B$6-IF('Ayarlar'!$B$7&lt;=0,99,ROUNDUP(MAX('Proje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girdileri'!AD39/'Ayarlar'!$B$7,0))/(52/12),0)),2-1&lt;'Proje girdileri'!AH39),POWER(1-'Proje girdileri'!AT39,2-1),0)+IF(AND(2&gt;IF('Ayarlar'!$B$7&lt;=0,99,ROUNDUP(MAX('Proje girdileri'!AC39,ROUNDUP('Proje girdileri'!AD39/'Ayarlar'!$B$7,0))/(52/12),0)),2-2&lt;'Proje girdileri'!AH39),POWER(1-'Proje girdileri'!AT39,2-2),0)),IF(2&gt;IF('Ayarlar'!$B$7&lt;=0,99,ROUNDUP(MAX('Proje girdileri'!AC39,ROUNDUP('Proje girdileri'!AD39/'Ayarlar'!$B$7,0))/(52/12),0)),1,0))*('Proje girdileri'!Y39*(1-'Proje girdileri'!AA39-'Proje girdileri'!AB39)-'Proje girdileri'!Z39))-'Proje girdileri'!AJ39)</x:f>
        <x:v>2.0799999999999965</x:v>
      </x:c>
      <x:c r="D39" s="24" t="n">
        <x:f>IF(3&gt;'Ayarlar'!$B$6,0,IF(MAX(0,'Ayarlar'!$B$6-IF('Ayarlar'!$B$7&lt;=0,99,ROUNDUP(MAX('Proje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girdileri'!AD39/'Ayarlar'!$B$7,0))/(52/12),0)),3-1&lt;'Proje girdileri'!AH39),POWER(1-'Proje girdileri'!AT39,3-1),0)+IF(AND(2&gt;IF('Ayarlar'!$B$7&lt;=0,99,ROUNDUP(MAX('Proje girdileri'!AC39,ROUNDUP('Proje girdileri'!AD39/'Ayarlar'!$B$7,0))/(52/12),0)),3-2&lt;'Proje girdileri'!AH39),POWER(1-'Proje girdileri'!AT39,3-2),0)+IF(AND(3&gt;IF('Ayarlar'!$B$7&lt;=0,99,ROUNDUP(MAX('Proje girdileri'!AC39,ROUNDUP('Proje girdileri'!AD39/'Ayarlar'!$B$7,0))/(52/12),0)),3-3&lt;'Proje girdileri'!AH39),POWER(1-'Proje girdileri'!AT39,3-3),0)),IF(3&gt;IF('Ayarlar'!$B$7&lt;=0,99,ROUNDUP(MAX('Proje girdileri'!AC39,ROUNDUP('Proje girdileri'!AD39/'Ayarlar'!$B$7,0))/(52/12),0)),1,0))*('Proje girdileri'!Y39*(1-'Proje girdileri'!AA39-'Proje girdileri'!AB39)-'Proje girdileri'!Z39))-'Proje girdileri'!AJ39)</x:f>
        <x:v>2.0799999999999965</x:v>
      </x:c>
      <x:c r="E39" s="24" t="n">
        <x:f>IF(4&gt;'Ayarlar'!$B$6,0,IF(MAX(0,'Ayarlar'!$B$6-IF('Ayarlar'!$B$7&lt;=0,99,ROUNDUP(MAX('Proje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girdileri'!AD39/'Ayarlar'!$B$7,0))/(52/12),0)),4-1&lt;'Proje girdileri'!AH39),POWER(1-'Proje girdileri'!AT39,4-1),0)+IF(AND(2&gt;IF('Ayarlar'!$B$7&lt;=0,99,ROUNDUP(MAX('Proje girdileri'!AC39,ROUNDUP('Proje girdileri'!AD39/'Ayarlar'!$B$7,0))/(52/12),0)),4-2&lt;'Proje girdileri'!AH39),POWER(1-'Proje girdileri'!AT39,4-2),0)+IF(AND(3&gt;IF('Ayarlar'!$B$7&lt;=0,99,ROUNDUP(MAX('Proje girdileri'!AC39,ROUNDUP('Proje girdileri'!AD39/'Ayarlar'!$B$7,0))/(52/12),0)),4-3&lt;'Proje girdileri'!AH39),POWER(1-'Proje girdileri'!AT39,4-3),0)+IF(AND(4&gt;IF('Ayarlar'!$B$7&lt;=0,99,ROUNDUP(MAX('Proje girdileri'!AC39,ROUNDUP('Proje girdileri'!AD39/'Ayarlar'!$B$7,0))/(52/12),0)),4-4&lt;'Proje girdileri'!AH39),POWER(1-'Proje girdileri'!AT39,4-4),0)),IF(4&gt;IF('Ayarlar'!$B$7&lt;=0,99,ROUNDUP(MAX('Proje girdileri'!AC39,ROUNDUP('Proje girdileri'!AD39/'Ayarlar'!$B$7,0))/(52/12),0)),1,0))*('Proje girdileri'!Y39*(1-'Proje girdileri'!AA39-'Proje girdileri'!AB39)-'Proje girdileri'!Z39))-'Proje girdileri'!AJ39)</x:f>
        <x:v>2.0799999999999965</x:v>
      </x:c>
      <x:c r="F39" s="24" t="n">
        <x:f>IF(5&gt;'Ayarlar'!$B$6,0,IF(MAX(0,'Ayarlar'!$B$6-IF('Ayarlar'!$B$7&lt;=0,99,ROUNDUP(MAX('Proje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girdileri'!AD39/'Ayarlar'!$B$7,0))/(52/12),0)),5-1&lt;'Proje girdileri'!AH39),POWER(1-'Proje girdileri'!AT39,5-1),0)+IF(AND(2&gt;IF('Ayarlar'!$B$7&lt;=0,99,ROUNDUP(MAX('Proje girdileri'!AC39,ROUNDUP('Proje girdileri'!AD39/'Ayarlar'!$B$7,0))/(52/12),0)),5-2&lt;'Proje girdileri'!AH39),POWER(1-'Proje girdileri'!AT39,5-2),0)+IF(AND(3&gt;IF('Ayarlar'!$B$7&lt;=0,99,ROUNDUP(MAX('Proje girdileri'!AC39,ROUNDUP('Proje girdileri'!AD39/'Ayarlar'!$B$7,0))/(52/12),0)),5-3&lt;'Proje girdileri'!AH39),POWER(1-'Proje girdileri'!AT39,5-3),0)+IF(AND(4&gt;IF('Ayarlar'!$B$7&lt;=0,99,ROUNDUP(MAX('Proje girdileri'!AC39,ROUNDUP('Proje girdileri'!AD39/'Ayarlar'!$B$7,0))/(52/12),0)),5-4&lt;'Proje girdileri'!AH39),POWER(1-'Proje girdileri'!AT39,5-4),0)+IF(AND(5&gt;IF('Ayarlar'!$B$7&lt;=0,99,ROUNDUP(MAX('Proje girdileri'!AC39,ROUNDUP('Proje girdileri'!AD39/'Ayarlar'!$B$7,0))/(52/12),0)),5-5&lt;'Proje girdileri'!AH39),POWER(1-'Proje girdileri'!AT39,5-5),0)),IF(5&gt;IF('Ayarlar'!$B$7&lt;=0,99,ROUNDUP(MAX('Proje girdileri'!AC39,ROUNDUP('Proje girdileri'!AD39/'Ayarlar'!$B$7,0))/(52/12),0)),1,0))*('Proje girdileri'!Y39*(1-'Proje girdileri'!AA39-'Proje girdileri'!AB39)-'Proje girdileri'!Z39))-'Proje girdileri'!AJ39)</x:f>
        <x:v>2.0799999999999965</x:v>
      </x:c>
      <x:c r="G39" s="24" t="n">
        <x:f>IF(6&gt;'Ayarlar'!$B$6,0,IF(MAX(0,'Ayarlar'!$B$6-IF('Ayarlar'!$B$7&lt;=0,99,ROUNDUP(MAX('Proje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girdileri'!AD39/'Ayarlar'!$B$7,0))/(52/12),0)),6-1&lt;'Proje girdileri'!AH39),POWER(1-'Proje girdileri'!AT39,6-1),0)+IF(AND(2&gt;IF('Ayarlar'!$B$7&lt;=0,99,ROUNDUP(MAX('Proje girdileri'!AC39,ROUNDUP('Proje girdileri'!AD39/'Ayarlar'!$B$7,0))/(52/12),0)),6-2&lt;'Proje girdileri'!AH39),POWER(1-'Proje girdileri'!AT39,6-2),0)+IF(AND(3&gt;IF('Ayarlar'!$B$7&lt;=0,99,ROUNDUP(MAX('Proje girdileri'!AC39,ROUNDUP('Proje girdileri'!AD39/'Ayarlar'!$B$7,0))/(52/12),0)),6-3&lt;'Proje girdileri'!AH39),POWER(1-'Proje girdileri'!AT39,6-3),0)+IF(AND(4&gt;IF('Ayarlar'!$B$7&lt;=0,99,ROUNDUP(MAX('Proje girdileri'!AC39,ROUNDUP('Proje girdileri'!AD39/'Ayarlar'!$B$7,0))/(52/12),0)),6-4&lt;'Proje girdileri'!AH39),POWER(1-'Proje girdileri'!AT39,6-4),0)+IF(AND(5&gt;IF('Ayarlar'!$B$7&lt;=0,99,ROUNDUP(MAX('Proje girdileri'!AC39,ROUNDUP('Proje girdileri'!AD39/'Ayarlar'!$B$7,0))/(52/12),0)),6-5&lt;'Proje girdileri'!AH39),POWER(1-'Proje girdileri'!AT39,6-5),0)+IF(AND(6&gt;IF('Ayarlar'!$B$7&lt;=0,99,ROUNDUP(MAX('Proje girdileri'!AC39,ROUNDUP('Proje girdileri'!AD39/'Ayarlar'!$B$7,0))/(52/12),0)),6-6&lt;'Proje girdileri'!AH39),POWER(1-'Proje girdileri'!AT39,6-6),0)),IF(6&gt;IF('Ayarlar'!$B$7&lt;=0,99,ROUNDUP(MAX('Proje girdileri'!AC39,ROUNDUP('Proje girdileri'!AD39/'Ayarlar'!$B$7,0))/(52/12),0)),1,0))*('Proje girdileri'!Y39*(1-'Proje girdileri'!AA39-'Proje girdileri'!AB39)-'Proje girdileri'!Z39))-'Proje girdileri'!AJ39)</x:f>
        <x:v>2.0799999999999965</x:v>
      </x:c>
      <x:c r="H39" s="24" t="n">
        <x:f>IF(7&gt;'Ayarlar'!$B$6,0,IF(MAX(0,'Ayarlar'!$B$6-IF('Ayarlar'!$B$7&lt;=0,99,ROUNDUP(MAX('Proje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girdileri'!AD39/'Ayarlar'!$B$7,0))/(52/12),0)),7-1&lt;'Proje girdileri'!AH39),POWER(1-'Proje girdileri'!AT39,7-1),0)+IF(AND(2&gt;IF('Ayarlar'!$B$7&lt;=0,99,ROUNDUP(MAX('Proje girdileri'!AC39,ROUNDUP('Proje girdileri'!AD39/'Ayarlar'!$B$7,0))/(52/12),0)),7-2&lt;'Proje girdileri'!AH39),POWER(1-'Proje girdileri'!AT39,7-2),0)+IF(AND(3&gt;IF('Ayarlar'!$B$7&lt;=0,99,ROUNDUP(MAX('Proje girdileri'!AC39,ROUNDUP('Proje girdileri'!AD39/'Ayarlar'!$B$7,0))/(52/12),0)),7-3&lt;'Proje girdileri'!AH39),POWER(1-'Proje girdileri'!AT39,7-3),0)+IF(AND(4&gt;IF('Ayarlar'!$B$7&lt;=0,99,ROUNDUP(MAX('Proje girdileri'!AC39,ROUNDUP('Proje girdileri'!AD39/'Ayarlar'!$B$7,0))/(52/12),0)),7-4&lt;'Proje girdileri'!AH39),POWER(1-'Proje girdileri'!AT39,7-4),0)+IF(AND(5&gt;IF('Ayarlar'!$B$7&lt;=0,99,ROUNDUP(MAX('Proje girdileri'!AC39,ROUNDUP('Proje girdileri'!AD39/'Ayarlar'!$B$7,0))/(52/12),0)),7-5&lt;'Proje girdileri'!AH39),POWER(1-'Proje girdileri'!AT39,7-5),0)+IF(AND(6&gt;IF('Ayarlar'!$B$7&lt;=0,99,ROUNDUP(MAX('Proje girdileri'!AC39,ROUNDUP('Proje girdileri'!AD39/'Ayarlar'!$B$7,0))/(52/12),0)),7-6&lt;'Proje girdileri'!AH39),POWER(1-'Proje girdileri'!AT39,7-6),0)+IF(AND(7&gt;IF('Ayarlar'!$B$7&lt;=0,99,ROUNDUP(MAX('Proje girdileri'!AC39,ROUNDUP('Proje girdileri'!AD39/'Ayarlar'!$B$7,0))/(52/12),0)),7-7&lt;'Proje girdileri'!AH39),POWER(1-'Proje girdileri'!AT39,7-7),0)),IF(7&gt;IF('Ayarlar'!$B$7&lt;=0,99,ROUNDUP(MAX('Proje girdileri'!AC39,ROUNDUP('Proje girdileri'!AD39/'Ayarlar'!$B$7,0))/(52/12),0)),1,0))*('Proje girdileri'!Y39*(1-'Proje girdileri'!AA39-'Proje girdileri'!AB39)-'Proje girdileri'!Z39))-'Proje girdileri'!AJ39)</x:f>
        <x:v>0</x:v>
      </x:c>
      <x:c r="I39" s="24" t="n">
        <x:f>IF(8&gt;'Ayarlar'!$B$6,0,IF(MAX(0,'Ayarlar'!$B$6-IF('Ayarlar'!$B$7&lt;=0,99,ROUNDUP(MAX('Proje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girdileri'!AD39/'Ayarlar'!$B$7,0))/(52/12),0)),8-1&lt;'Proje girdileri'!AH39),POWER(1-'Proje girdileri'!AT39,8-1),0)+IF(AND(2&gt;IF('Ayarlar'!$B$7&lt;=0,99,ROUNDUP(MAX('Proje girdileri'!AC39,ROUNDUP('Proje girdileri'!AD39/'Ayarlar'!$B$7,0))/(52/12),0)),8-2&lt;'Proje girdileri'!AH39),POWER(1-'Proje girdileri'!AT39,8-2),0)+IF(AND(3&gt;IF('Ayarlar'!$B$7&lt;=0,99,ROUNDUP(MAX('Proje girdileri'!AC39,ROUNDUP('Proje girdileri'!AD39/'Ayarlar'!$B$7,0))/(52/12),0)),8-3&lt;'Proje girdileri'!AH39),POWER(1-'Proje girdileri'!AT39,8-3),0)+IF(AND(4&gt;IF('Ayarlar'!$B$7&lt;=0,99,ROUNDUP(MAX('Proje girdileri'!AC39,ROUNDUP('Proje girdileri'!AD39/'Ayarlar'!$B$7,0))/(52/12),0)),8-4&lt;'Proje girdileri'!AH39),POWER(1-'Proje girdileri'!AT39,8-4),0)+IF(AND(5&gt;IF('Ayarlar'!$B$7&lt;=0,99,ROUNDUP(MAX('Proje girdileri'!AC39,ROUNDUP('Proje girdileri'!AD39/'Ayarlar'!$B$7,0))/(52/12),0)),8-5&lt;'Proje girdileri'!AH39),POWER(1-'Proje girdileri'!AT39,8-5),0)+IF(AND(6&gt;IF('Ayarlar'!$B$7&lt;=0,99,ROUNDUP(MAX('Proje girdileri'!AC39,ROUNDUP('Proje girdileri'!AD39/'Ayarlar'!$B$7,0))/(52/12),0)),8-6&lt;'Proje girdileri'!AH39),POWER(1-'Proje girdileri'!AT39,8-6),0)+IF(AND(7&gt;IF('Ayarlar'!$B$7&lt;=0,99,ROUNDUP(MAX('Proje girdileri'!AC39,ROUNDUP('Proje girdileri'!AD39/'Ayarlar'!$B$7,0))/(52/12),0)),8-7&lt;'Proje girdileri'!AH39),POWER(1-'Proje girdileri'!AT39,8-7),0)+IF(AND(8&gt;IF('Ayarlar'!$B$7&lt;=0,99,ROUNDUP(MAX('Proje girdileri'!AC39,ROUNDUP('Proje girdileri'!AD39/'Ayarlar'!$B$7,0))/(52/12),0)),8-8&lt;'Proje girdileri'!AH39),POWER(1-'Proje girdileri'!AT39,8-8),0)),IF(8&gt;IF('Ayarlar'!$B$7&lt;=0,99,ROUNDUP(MAX('Proje girdileri'!AC39,ROUNDUP('Proje girdileri'!AD39/'Ayarlar'!$B$7,0))/(52/12),0)),1,0))*('Proje girdileri'!Y39*(1-'Proje girdileri'!AA39-'Proje girdileri'!AB39)-'Proje girdileri'!Z39))-'Proje girdileri'!AJ39)</x:f>
        <x:v>0</x:v>
      </x:c>
      <x:c r="J39" s="24" t="n">
        <x:f>IF(9&gt;'Ayarlar'!$B$6,0,IF(MAX(0,'Ayarlar'!$B$6-IF('Ayarlar'!$B$7&lt;=0,99,ROUNDUP(MAX('Proje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girdileri'!AD39/'Ayarlar'!$B$7,0))/(52/12),0)),9-1&lt;'Proje girdileri'!AH39),POWER(1-'Proje girdileri'!AT39,9-1),0)+IF(AND(2&gt;IF('Ayarlar'!$B$7&lt;=0,99,ROUNDUP(MAX('Proje girdileri'!AC39,ROUNDUP('Proje girdileri'!AD39/'Ayarlar'!$B$7,0))/(52/12),0)),9-2&lt;'Proje girdileri'!AH39),POWER(1-'Proje girdileri'!AT39,9-2),0)+IF(AND(3&gt;IF('Ayarlar'!$B$7&lt;=0,99,ROUNDUP(MAX('Proje girdileri'!AC39,ROUNDUP('Proje girdileri'!AD39/'Ayarlar'!$B$7,0))/(52/12),0)),9-3&lt;'Proje girdileri'!AH39),POWER(1-'Proje girdileri'!AT39,9-3),0)+IF(AND(4&gt;IF('Ayarlar'!$B$7&lt;=0,99,ROUNDUP(MAX('Proje girdileri'!AC39,ROUNDUP('Proje girdileri'!AD39/'Ayarlar'!$B$7,0))/(52/12),0)),9-4&lt;'Proje girdileri'!AH39),POWER(1-'Proje girdileri'!AT39,9-4),0)+IF(AND(5&gt;IF('Ayarlar'!$B$7&lt;=0,99,ROUNDUP(MAX('Proje girdileri'!AC39,ROUNDUP('Proje girdileri'!AD39/'Ayarlar'!$B$7,0))/(52/12),0)),9-5&lt;'Proje girdileri'!AH39),POWER(1-'Proje girdileri'!AT39,9-5),0)+IF(AND(6&gt;IF('Ayarlar'!$B$7&lt;=0,99,ROUNDUP(MAX('Proje girdileri'!AC39,ROUNDUP('Proje girdileri'!AD39/'Ayarlar'!$B$7,0))/(52/12),0)),9-6&lt;'Proje girdileri'!AH39),POWER(1-'Proje girdileri'!AT39,9-6),0)+IF(AND(7&gt;IF('Ayarlar'!$B$7&lt;=0,99,ROUNDUP(MAX('Proje girdileri'!AC39,ROUNDUP('Proje girdileri'!AD39/'Ayarlar'!$B$7,0))/(52/12),0)),9-7&lt;'Proje girdileri'!AH39),POWER(1-'Proje girdileri'!AT39,9-7),0)+IF(AND(8&gt;IF('Ayarlar'!$B$7&lt;=0,99,ROUNDUP(MAX('Proje girdileri'!AC39,ROUNDUP('Proje girdileri'!AD39/'Ayarlar'!$B$7,0))/(52/12),0)),9-8&lt;'Proje girdileri'!AH39),POWER(1-'Proje girdileri'!AT39,9-8),0)+IF(AND(9&gt;IF('Ayarlar'!$B$7&lt;=0,99,ROUNDUP(MAX('Proje girdileri'!AC39,ROUNDUP('Proje girdileri'!AD39/'Ayarlar'!$B$7,0))/(52/12),0)),9-9&lt;'Proje girdileri'!AH39),POWER(1-'Proje girdileri'!AT39,9-9),0)),IF(9&gt;IF('Ayarlar'!$B$7&lt;=0,99,ROUNDUP(MAX('Proje girdileri'!AC39,ROUNDUP('Proje girdileri'!AD39/'Ayarlar'!$B$7,0))/(52/12),0)),1,0))*('Proje girdileri'!Y39*(1-'Proje girdileri'!AA39-'Proje girdileri'!AB39)-'Proje girdileri'!Z39))-'Proje girdileri'!AJ39)</x:f>
        <x:v>0</x:v>
      </x:c>
      <x:c r="K39" s="24" t="n">
        <x:f>IF(10&gt;'Ayarlar'!$B$6,0,IF(MAX(0,'Ayarlar'!$B$6-IF('Ayarlar'!$B$7&lt;=0,99,ROUNDUP(MAX('Proje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girdileri'!AD39/'Ayarlar'!$B$7,0))/(52/12),0)),10-1&lt;'Proje girdileri'!AH39),POWER(1-'Proje girdileri'!AT39,10-1),0)+IF(AND(2&gt;IF('Ayarlar'!$B$7&lt;=0,99,ROUNDUP(MAX('Proje girdileri'!AC39,ROUNDUP('Proje girdileri'!AD39/'Ayarlar'!$B$7,0))/(52/12),0)),10-2&lt;'Proje girdileri'!AH39),POWER(1-'Proje girdileri'!AT39,10-2),0)+IF(AND(3&gt;IF('Ayarlar'!$B$7&lt;=0,99,ROUNDUP(MAX('Proje girdileri'!AC39,ROUNDUP('Proje girdileri'!AD39/'Ayarlar'!$B$7,0))/(52/12),0)),10-3&lt;'Proje girdileri'!AH39),POWER(1-'Proje girdileri'!AT39,10-3),0)+IF(AND(4&gt;IF('Ayarlar'!$B$7&lt;=0,99,ROUNDUP(MAX('Proje girdileri'!AC39,ROUNDUP('Proje girdileri'!AD39/'Ayarlar'!$B$7,0))/(52/12),0)),10-4&lt;'Proje girdileri'!AH39),POWER(1-'Proje girdileri'!AT39,10-4),0)+IF(AND(5&gt;IF('Ayarlar'!$B$7&lt;=0,99,ROUNDUP(MAX('Proje girdileri'!AC39,ROUNDUP('Proje girdileri'!AD39/'Ayarlar'!$B$7,0))/(52/12),0)),10-5&lt;'Proje girdileri'!AH39),POWER(1-'Proje girdileri'!AT39,10-5),0)+IF(AND(6&gt;IF('Ayarlar'!$B$7&lt;=0,99,ROUNDUP(MAX('Proje girdileri'!AC39,ROUNDUP('Proje girdileri'!AD39/'Ayarlar'!$B$7,0))/(52/12),0)),10-6&lt;'Proje girdileri'!AH39),POWER(1-'Proje girdileri'!AT39,10-6),0)+IF(AND(7&gt;IF('Ayarlar'!$B$7&lt;=0,99,ROUNDUP(MAX('Proje girdileri'!AC39,ROUNDUP('Proje girdileri'!AD39/'Ayarlar'!$B$7,0))/(52/12),0)),10-7&lt;'Proje girdileri'!AH39),POWER(1-'Proje girdileri'!AT39,10-7),0)+IF(AND(8&gt;IF('Ayarlar'!$B$7&lt;=0,99,ROUNDUP(MAX('Proje girdileri'!AC39,ROUNDUP('Proje girdileri'!AD39/'Ayarlar'!$B$7,0))/(52/12),0)),10-8&lt;'Proje girdileri'!AH39),POWER(1-'Proje girdileri'!AT39,10-8),0)+IF(AND(9&gt;IF('Ayarlar'!$B$7&lt;=0,99,ROUNDUP(MAX('Proje girdileri'!AC39,ROUNDUP('Proje girdileri'!AD39/'Ayarlar'!$B$7,0))/(52/12),0)),10-9&lt;'Proje girdileri'!AH39),POWER(1-'Proje girdileri'!AT39,10-9),0)+IF(AND(10&gt;IF('Ayarlar'!$B$7&lt;=0,99,ROUNDUP(MAX('Proje girdileri'!AC39,ROUNDUP('Proje girdileri'!AD39/'Ayarlar'!$B$7,0))/(52/12),0)),10-10&lt;'Proje girdileri'!AH39),POWER(1-'Proje girdileri'!AT39,10-10),0)),IF(10&gt;IF('Ayarlar'!$B$7&lt;=0,99,ROUNDUP(MAX('Proje girdileri'!AC39,ROUNDUP('Proje girdileri'!AD39/'Ayarlar'!$B$7,0))/(52/12),0)),1,0))*('Proje girdileri'!Y39*(1-'Proje girdileri'!AA39-'Proje girdileri'!AB39)-'Proje girdileri'!Z39))-'Proje girdileri'!AJ39)</x:f>
        <x:v>0</x:v>
      </x:c>
      <x:c r="L39" s="24" t="n">
        <x:f>IF(11&gt;'Ayarlar'!$B$6,0,IF(MAX(0,'Ayarlar'!$B$6-IF('Ayarlar'!$B$7&lt;=0,99,ROUNDUP(MAX('Proje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girdileri'!AD39/'Ayarlar'!$B$7,0))/(52/12),0)),11-1&lt;'Proje girdileri'!AH39),POWER(1-'Proje girdileri'!AT39,11-1),0)+IF(AND(2&gt;IF('Ayarlar'!$B$7&lt;=0,99,ROUNDUP(MAX('Proje girdileri'!AC39,ROUNDUP('Proje girdileri'!AD39/'Ayarlar'!$B$7,0))/(52/12),0)),11-2&lt;'Proje girdileri'!AH39),POWER(1-'Proje girdileri'!AT39,11-2),0)+IF(AND(3&gt;IF('Ayarlar'!$B$7&lt;=0,99,ROUNDUP(MAX('Proje girdileri'!AC39,ROUNDUP('Proje girdileri'!AD39/'Ayarlar'!$B$7,0))/(52/12),0)),11-3&lt;'Proje girdileri'!AH39),POWER(1-'Proje girdileri'!AT39,11-3),0)+IF(AND(4&gt;IF('Ayarlar'!$B$7&lt;=0,99,ROUNDUP(MAX('Proje girdileri'!AC39,ROUNDUP('Proje girdileri'!AD39/'Ayarlar'!$B$7,0))/(52/12),0)),11-4&lt;'Proje girdileri'!AH39),POWER(1-'Proje girdileri'!AT39,11-4),0)+IF(AND(5&gt;IF('Ayarlar'!$B$7&lt;=0,99,ROUNDUP(MAX('Proje girdileri'!AC39,ROUNDUP('Proje girdileri'!AD39/'Ayarlar'!$B$7,0))/(52/12),0)),11-5&lt;'Proje girdileri'!AH39),POWER(1-'Proje girdileri'!AT39,11-5),0)+IF(AND(6&gt;IF('Ayarlar'!$B$7&lt;=0,99,ROUNDUP(MAX('Proje girdileri'!AC39,ROUNDUP('Proje girdileri'!AD39/'Ayarlar'!$B$7,0))/(52/12),0)),11-6&lt;'Proje girdileri'!AH39),POWER(1-'Proje girdileri'!AT39,11-6),0)+IF(AND(7&gt;IF('Ayarlar'!$B$7&lt;=0,99,ROUNDUP(MAX('Proje girdileri'!AC39,ROUNDUP('Proje girdileri'!AD39/'Ayarlar'!$B$7,0))/(52/12),0)),11-7&lt;'Proje girdileri'!AH39),POWER(1-'Proje girdileri'!AT39,11-7),0)+IF(AND(8&gt;IF('Ayarlar'!$B$7&lt;=0,99,ROUNDUP(MAX('Proje girdileri'!AC39,ROUNDUP('Proje girdileri'!AD39/'Ayarlar'!$B$7,0))/(52/12),0)),11-8&lt;'Proje girdileri'!AH39),POWER(1-'Proje girdileri'!AT39,11-8),0)+IF(AND(9&gt;IF('Ayarlar'!$B$7&lt;=0,99,ROUNDUP(MAX('Proje girdileri'!AC39,ROUNDUP('Proje girdileri'!AD39/'Ayarlar'!$B$7,0))/(52/12),0)),11-9&lt;'Proje girdileri'!AH39),POWER(1-'Proje girdileri'!AT39,11-9),0)+IF(AND(10&gt;IF('Ayarlar'!$B$7&lt;=0,99,ROUNDUP(MAX('Proje girdileri'!AC39,ROUNDUP('Proje girdileri'!AD39/'Ayarlar'!$B$7,0))/(52/12),0)),11-10&lt;'Proje girdileri'!AH39),POWER(1-'Proje girdileri'!AT39,11-10),0)+IF(AND(11&gt;IF('Ayarlar'!$B$7&lt;=0,99,ROUNDUP(MAX('Proje girdileri'!AC39,ROUNDUP('Proje girdileri'!AD39/'Ayarlar'!$B$7,0))/(52/12),0)),11-11&lt;'Proje girdileri'!AH39),POWER(1-'Proje girdileri'!AT39,11-11),0)),IF(11&gt;IF('Ayarlar'!$B$7&lt;=0,99,ROUNDUP(MAX('Proje girdileri'!AC39,ROUNDUP('Proje girdileri'!AD39/'Ayarlar'!$B$7,0))/(52/12),0)),1,0))*('Proje girdileri'!Y39*(1-'Proje girdileri'!AA39-'Proje girdileri'!AB39)-'Proje girdileri'!Z39))-'Proje girdileri'!AJ39)</x:f>
        <x:v>0</x:v>
      </x:c>
      <x:c r="M39" s="24" t="n">
        <x:f>IF(12&gt;'Ayarlar'!$B$6,0,IF(MAX(0,'Ayarlar'!$B$6-IF('Ayarlar'!$B$7&lt;=0,99,ROUNDUP(MAX('Proje girdileri'!AC39,ROUNDUP('Proje girdileri'!AD39/'Ayarlar'!$B$7,0))/(52/12),0)))=0,0,'Hesap'!I39/MAX(0,'Ayarlar'!$B$6-IF('Ayarlar'!$B$7&lt;=0,99,ROUNDUP(MAX('Proje girdileri'!AC39,ROUNDUP('Proje girdileri'!AD39/'Ayarlar'!$B$7,0))/(52/12),0)))*IF('Proje girdileri'!C39="recurring",(IF(AND(1&gt;IF('Ayarlar'!$B$7&lt;=0,99,ROUNDUP(MAX('Proje girdileri'!AC39,ROUNDUP('Proje girdileri'!AD39/'Ayarlar'!$B$7,0))/(52/12),0)),12-1&lt;'Proje girdileri'!AH39),POWER(1-'Proje girdileri'!AT39,12-1),0)+IF(AND(2&gt;IF('Ayarlar'!$B$7&lt;=0,99,ROUNDUP(MAX('Proje girdileri'!AC39,ROUNDUP('Proje girdileri'!AD39/'Ayarlar'!$B$7,0))/(52/12),0)),12-2&lt;'Proje girdileri'!AH39),POWER(1-'Proje girdileri'!AT39,12-2),0)+IF(AND(3&gt;IF('Ayarlar'!$B$7&lt;=0,99,ROUNDUP(MAX('Proje girdileri'!AC39,ROUNDUP('Proje girdileri'!AD39/'Ayarlar'!$B$7,0))/(52/12),0)),12-3&lt;'Proje girdileri'!AH39),POWER(1-'Proje girdileri'!AT39,12-3),0)+IF(AND(4&gt;IF('Ayarlar'!$B$7&lt;=0,99,ROUNDUP(MAX('Proje girdileri'!AC39,ROUNDUP('Proje girdileri'!AD39/'Ayarlar'!$B$7,0))/(52/12),0)),12-4&lt;'Proje girdileri'!AH39),POWER(1-'Proje girdileri'!AT39,12-4),0)+IF(AND(5&gt;IF('Ayarlar'!$B$7&lt;=0,99,ROUNDUP(MAX('Proje girdileri'!AC39,ROUNDUP('Proje girdileri'!AD39/'Ayarlar'!$B$7,0))/(52/12),0)),12-5&lt;'Proje girdileri'!AH39),POWER(1-'Proje girdileri'!AT39,12-5),0)+IF(AND(6&gt;IF('Ayarlar'!$B$7&lt;=0,99,ROUNDUP(MAX('Proje girdileri'!AC39,ROUNDUP('Proje girdileri'!AD39/'Ayarlar'!$B$7,0))/(52/12),0)),12-6&lt;'Proje girdileri'!AH39),POWER(1-'Proje girdileri'!AT39,12-6),0)+IF(AND(7&gt;IF('Ayarlar'!$B$7&lt;=0,99,ROUNDUP(MAX('Proje girdileri'!AC39,ROUNDUP('Proje girdileri'!AD39/'Ayarlar'!$B$7,0))/(52/12),0)),12-7&lt;'Proje girdileri'!AH39),POWER(1-'Proje girdileri'!AT39,12-7),0)+IF(AND(8&gt;IF('Ayarlar'!$B$7&lt;=0,99,ROUNDUP(MAX('Proje girdileri'!AC39,ROUNDUP('Proje girdileri'!AD39/'Ayarlar'!$B$7,0))/(52/12),0)),12-8&lt;'Proje girdileri'!AH39),POWER(1-'Proje girdileri'!AT39,12-8),0)+IF(AND(9&gt;IF('Ayarlar'!$B$7&lt;=0,99,ROUNDUP(MAX('Proje girdileri'!AC39,ROUNDUP('Proje girdileri'!AD39/'Ayarlar'!$B$7,0))/(52/12),0)),12-9&lt;'Proje girdileri'!AH39),POWER(1-'Proje girdileri'!AT39,12-9),0)+IF(AND(10&gt;IF('Ayarlar'!$B$7&lt;=0,99,ROUNDUP(MAX('Proje girdileri'!AC39,ROUNDUP('Proje girdileri'!AD39/'Ayarlar'!$B$7,0))/(52/12),0)),12-10&lt;'Proje girdileri'!AH39),POWER(1-'Proje girdileri'!AT39,12-10),0)+IF(AND(11&gt;IF('Ayarlar'!$B$7&lt;=0,99,ROUNDUP(MAX('Proje girdileri'!AC39,ROUNDUP('Proje girdileri'!AD39/'Ayarlar'!$B$7,0))/(52/12),0)),12-11&lt;'Proje girdileri'!AH39),POWER(1-'Proje girdileri'!AT39,12-11),0)+IF(AND(12&gt;IF('Ayarlar'!$B$7&lt;=0,99,ROUNDUP(MAX('Proje girdileri'!AC39,ROUNDUP('Proje girdileri'!AD39/'Ayarlar'!$B$7,0))/(52/12),0)),12-12&lt;'Proje girdileri'!AH39),POWER(1-'Proje girdileri'!AT39,12-12),0)),IF(12&gt;IF('Ayarlar'!$B$7&lt;=0,99,ROUNDUP(MAX('Proje girdileri'!AC39,ROUNDUP('Proje girdileri'!AD39/'Ayarlar'!$B$7,0))/(52/12),0)),1,0))*('Proje girdileri'!Y39*(1-'Proje girdileri'!AA39-'Proje girdileri'!AB39)-'Proje girdileri'!Z39))-'Proje girdileri'!AJ39)</x:f>
        <x:v>0</x:v>
      </x:c>
      <x:c r="N39" s="24" t="n">
        <x:f>SUM(B39:M39)</x:f>
        <x:v>-99.60000000000001</x:v>
      </x:c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</x:row>
    <x:row r="40" ht="24" customHeight="1">
      <x:c r="A40" s="2" t="str">
        <x:f>'Hesap'!B40</x:f>
        <x:v>Kanıtlı yazılım teslimi</x:v>
      </x:c>
      <x:c r="B40" s="24" t="n">
        <x:f>IF(1&gt;'Ayarlar'!$B$6,0,IF(MAX(0,'Ayarlar'!$B$6-IF('Ayarlar'!$B$7&lt;=0,99,ROUNDUP(MAX('Proje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girdileri'!AD40/'Ayarlar'!$B$7,0))/(52/12),0)),1-1&lt;'Proje girdileri'!AH40),POWER(1-'Proje girdileri'!AT40,1-1),0)),IF(1&gt;IF('Ayarlar'!$B$7&lt;=0,99,ROUNDUP(MAX('Proje girdileri'!AC40,ROUNDUP('Proje girdileri'!AD40/'Ayarlar'!$B$7,0))/(52/12),0)),1,0))*('Proje girdileri'!Y40*(1-'Proje girdileri'!AA40-'Proje girdileri'!AB40)-'Proje girdileri'!Z40))-'Proje girdileri'!AJ40-'Proje girdileri'!AI40)</x:f>
        <x:v>-165</x:v>
      </x:c>
      <x:c r="C40" s="24" t="n">
        <x:f>IF(2&gt;'Ayarlar'!$B$6,0,IF(MAX(0,'Ayarlar'!$B$6-IF('Ayarlar'!$B$7&lt;=0,99,ROUNDUP(MAX('Proje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girdileri'!AD40/'Ayarlar'!$B$7,0))/(52/12),0)),2-1&lt;'Proje girdileri'!AH40),POWER(1-'Proje girdileri'!AT40,2-1),0)+IF(AND(2&gt;IF('Ayarlar'!$B$7&lt;=0,99,ROUNDUP(MAX('Proje girdileri'!AC40,ROUNDUP('Proje girdileri'!AD40/'Ayarlar'!$B$7,0))/(52/12),0)),2-2&lt;'Proje girdileri'!AH40),POWER(1-'Proje girdileri'!AT40,2-2),0)),IF(2&gt;IF('Ayarlar'!$B$7&lt;=0,99,ROUNDUP(MAX('Proje girdileri'!AC40,ROUNDUP('Proje girdileri'!AD40/'Ayarlar'!$B$7,0))/(52/12),0)),1,0))*('Proje girdileri'!Y40*(1-'Proje girdileri'!AA40-'Proje girdileri'!AB40)-'Proje girdileri'!Z40))-'Proje girdileri'!AJ40)</x:f>
        <x:v>341</x:v>
      </x:c>
      <x:c r="D40" s="24" t="n">
        <x:f>IF(3&gt;'Ayarlar'!$B$6,0,IF(MAX(0,'Ayarlar'!$B$6-IF('Ayarlar'!$B$7&lt;=0,99,ROUNDUP(MAX('Proje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girdileri'!AD40/'Ayarlar'!$B$7,0))/(52/12),0)),3-1&lt;'Proje girdileri'!AH40),POWER(1-'Proje girdileri'!AT40,3-1),0)+IF(AND(2&gt;IF('Ayarlar'!$B$7&lt;=0,99,ROUNDUP(MAX('Proje girdileri'!AC40,ROUNDUP('Proje girdileri'!AD40/'Ayarlar'!$B$7,0))/(52/12),0)),3-2&lt;'Proje girdileri'!AH40),POWER(1-'Proje girdileri'!AT40,3-2),0)+IF(AND(3&gt;IF('Ayarlar'!$B$7&lt;=0,99,ROUNDUP(MAX('Proje girdileri'!AC40,ROUNDUP('Proje girdileri'!AD40/'Ayarlar'!$B$7,0))/(52/12),0)),3-3&lt;'Proje girdileri'!AH40),POWER(1-'Proje girdileri'!AT40,3-3),0)),IF(3&gt;IF('Ayarlar'!$B$7&lt;=0,99,ROUNDUP(MAX('Proje girdileri'!AC40,ROUNDUP('Proje girdileri'!AD40/'Ayarlar'!$B$7,0))/(52/12),0)),1,0))*('Proje girdileri'!Y40*(1-'Proje girdileri'!AA40-'Proje girdileri'!AB40)-'Proje girdileri'!Z40))-'Proje girdileri'!AJ40)</x:f>
        <x:v>341</x:v>
      </x:c>
      <x:c r="E40" s="24" t="n">
        <x:f>IF(4&gt;'Ayarlar'!$B$6,0,IF(MAX(0,'Ayarlar'!$B$6-IF('Ayarlar'!$B$7&lt;=0,99,ROUNDUP(MAX('Proje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girdileri'!AD40/'Ayarlar'!$B$7,0))/(52/12),0)),4-1&lt;'Proje girdileri'!AH40),POWER(1-'Proje girdileri'!AT40,4-1),0)+IF(AND(2&gt;IF('Ayarlar'!$B$7&lt;=0,99,ROUNDUP(MAX('Proje girdileri'!AC40,ROUNDUP('Proje girdileri'!AD40/'Ayarlar'!$B$7,0))/(52/12),0)),4-2&lt;'Proje girdileri'!AH40),POWER(1-'Proje girdileri'!AT40,4-2),0)+IF(AND(3&gt;IF('Ayarlar'!$B$7&lt;=0,99,ROUNDUP(MAX('Proje girdileri'!AC40,ROUNDUP('Proje girdileri'!AD40/'Ayarlar'!$B$7,0))/(52/12),0)),4-3&lt;'Proje girdileri'!AH40),POWER(1-'Proje girdileri'!AT40,4-3),0)+IF(AND(4&gt;IF('Ayarlar'!$B$7&lt;=0,99,ROUNDUP(MAX('Proje girdileri'!AC40,ROUNDUP('Proje girdileri'!AD40/'Ayarlar'!$B$7,0))/(52/12),0)),4-4&lt;'Proje girdileri'!AH40),POWER(1-'Proje girdileri'!AT40,4-4),0)),IF(4&gt;IF('Ayarlar'!$B$7&lt;=0,99,ROUNDUP(MAX('Proje girdileri'!AC40,ROUNDUP('Proje girdileri'!AD40/'Ayarlar'!$B$7,0))/(52/12),0)),1,0))*('Proje girdileri'!Y40*(1-'Proje girdileri'!AA40-'Proje girdileri'!AB40)-'Proje girdileri'!Z40))-'Proje girdileri'!AJ40)</x:f>
        <x:v>341</x:v>
      </x:c>
      <x:c r="F40" s="24" t="n">
        <x:f>IF(5&gt;'Ayarlar'!$B$6,0,IF(MAX(0,'Ayarlar'!$B$6-IF('Ayarlar'!$B$7&lt;=0,99,ROUNDUP(MAX('Proje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girdileri'!AD40/'Ayarlar'!$B$7,0))/(52/12),0)),5-1&lt;'Proje girdileri'!AH40),POWER(1-'Proje girdileri'!AT40,5-1),0)+IF(AND(2&gt;IF('Ayarlar'!$B$7&lt;=0,99,ROUNDUP(MAX('Proje girdileri'!AC40,ROUNDUP('Proje girdileri'!AD40/'Ayarlar'!$B$7,0))/(52/12),0)),5-2&lt;'Proje girdileri'!AH40),POWER(1-'Proje girdileri'!AT40,5-2),0)+IF(AND(3&gt;IF('Ayarlar'!$B$7&lt;=0,99,ROUNDUP(MAX('Proje girdileri'!AC40,ROUNDUP('Proje girdileri'!AD40/'Ayarlar'!$B$7,0))/(52/12),0)),5-3&lt;'Proje girdileri'!AH40),POWER(1-'Proje girdileri'!AT40,5-3),0)+IF(AND(4&gt;IF('Ayarlar'!$B$7&lt;=0,99,ROUNDUP(MAX('Proje girdileri'!AC40,ROUNDUP('Proje girdileri'!AD40/'Ayarlar'!$B$7,0))/(52/12),0)),5-4&lt;'Proje girdileri'!AH40),POWER(1-'Proje girdileri'!AT40,5-4),0)+IF(AND(5&gt;IF('Ayarlar'!$B$7&lt;=0,99,ROUNDUP(MAX('Proje girdileri'!AC40,ROUNDUP('Proje girdileri'!AD40/'Ayarlar'!$B$7,0))/(52/12),0)),5-5&lt;'Proje girdileri'!AH40),POWER(1-'Proje girdileri'!AT40,5-5),0)),IF(5&gt;IF('Ayarlar'!$B$7&lt;=0,99,ROUNDUP(MAX('Proje girdileri'!AC40,ROUNDUP('Proje girdileri'!AD40/'Ayarlar'!$B$7,0))/(52/12),0)),1,0))*('Proje girdileri'!Y40*(1-'Proje girdileri'!AA40-'Proje girdileri'!AB40)-'Proje girdileri'!Z40))-'Proje girdileri'!AJ40)</x:f>
        <x:v>341</x:v>
      </x:c>
      <x:c r="G40" s="24" t="n">
        <x:f>IF(6&gt;'Ayarlar'!$B$6,0,IF(MAX(0,'Ayarlar'!$B$6-IF('Ayarlar'!$B$7&lt;=0,99,ROUNDUP(MAX('Proje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girdileri'!AD40/'Ayarlar'!$B$7,0))/(52/12),0)),6-1&lt;'Proje girdileri'!AH40),POWER(1-'Proje girdileri'!AT40,6-1),0)+IF(AND(2&gt;IF('Ayarlar'!$B$7&lt;=0,99,ROUNDUP(MAX('Proje girdileri'!AC40,ROUNDUP('Proje girdileri'!AD40/'Ayarlar'!$B$7,0))/(52/12),0)),6-2&lt;'Proje girdileri'!AH40),POWER(1-'Proje girdileri'!AT40,6-2),0)+IF(AND(3&gt;IF('Ayarlar'!$B$7&lt;=0,99,ROUNDUP(MAX('Proje girdileri'!AC40,ROUNDUP('Proje girdileri'!AD40/'Ayarlar'!$B$7,0))/(52/12),0)),6-3&lt;'Proje girdileri'!AH40),POWER(1-'Proje girdileri'!AT40,6-3),0)+IF(AND(4&gt;IF('Ayarlar'!$B$7&lt;=0,99,ROUNDUP(MAX('Proje girdileri'!AC40,ROUNDUP('Proje girdileri'!AD40/'Ayarlar'!$B$7,0))/(52/12),0)),6-4&lt;'Proje girdileri'!AH40),POWER(1-'Proje girdileri'!AT40,6-4),0)+IF(AND(5&gt;IF('Ayarlar'!$B$7&lt;=0,99,ROUNDUP(MAX('Proje girdileri'!AC40,ROUNDUP('Proje girdileri'!AD40/'Ayarlar'!$B$7,0))/(52/12),0)),6-5&lt;'Proje girdileri'!AH40),POWER(1-'Proje girdileri'!AT40,6-5),0)+IF(AND(6&gt;IF('Ayarlar'!$B$7&lt;=0,99,ROUNDUP(MAX('Proje girdileri'!AC40,ROUNDUP('Proje girdileri'!AD40/'Ayarlar'!$B$7,0))/(52/12),0)),6-6&lt;'Proje girdileri'!AH40),POWER(1-'Proje girdileri'!AT40,6-6),0)),IF(6&gt;IF('Ayarlar'!$B$7&lt;=0,99,ROUNDUP(MAX('Proje girdileri'!AC40,ROUNDUP('Proje girdileri'!AD40/'Ayarlar'!$B$7,0))/(52/12),0)),1,0))*('Proje girdileri'!Y40*(1-'Proje girdileri'!AA40-'Proje girdileri'!AB40)-'Proje girdileri'!Z40))-'Proje girdileri'!AJ40)</x:f>
        <x:v>341</x:v>
      </x:c>
      <x:c r="H40" s="24" t="n">
        <x:f>IF(7&gt;'Ayarlar'!$B$6,0,IF(MAX(0,'Ayarlar'!$B$6-IF('Ayarlar'!$B$7&lt;=0,99,ROUNDUP(MAX('Proje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girdileri'!AD40/'Ayarlar'!$B$7,0))/(52/12),0)),7-1&lt;'Proje girdileri'!AH40),POWER(1-'Proje girdileri'!AT40,7-1),0)+IF(AND(2&gt;IF('Ayarlar'!$B$7&lt;=0,99,ROUNDUP(MAX('Proje girdileri'!AC40,ROUNDUP('Proje girdileri'!AD40/'Ayarlar'!$B$7,0))/(52/12),0)),7-2&lt;'Proje girdileri'!AH40),POWER(1-'Proje girdileri'!AT40,7-2),0)+IF(AND(3&gt;IF('Ayarlar'!$B$7&lt;=0,99,ROUNDUP(MAX('Proje girdileri'!AC40,ROUNDUP('Proje girdileri'!AD40/'Ayarlar'!$B$7,0))/(52/12),0)),7-3&lt;'Proje girdileri'!AH40),POWER(1-'Proje girdileri'!AT40,7-3),0)+IF(AND(4&gt;IF('Ayarlar'!$B$7&lt;=0,99,ROUNDUP(MAX('Proje girdileri'!AC40,ROUNDUP('Proje girdileri'!AD40/'Ayarlar'!$B$7,0))/(52/12),0)),7-4&lt;'Proje girdileri'!AH40),POWER(1-'Proje girdileri'!AT40,7-4),0)+IF(AND(5&gt;IF('Ayarlar'!$B$7&lt;=0,99,ROUNDUP(MAX('Proje girdileri'!AC40,ROUNDUP('Proje girdileri'!AD40/'Ayarlar'!$B$7,0))/(52/12),0)),7-5&lt;'Proje girdileri'!AH40),POWER(1-'Proje girdileri'!AT40,7-5),0)+IF(AND(6&gt;IF('Ayarlar'!$B$7&lt;=0,99,ROUNDUP(MAX('Proje girdileri'!AC40,ROUNDUP('Proje girdileri'!AD40/'Ayarlar'!$B$7,0))/(52/12),0)),7-6&lt;'Proje girdileri'!AH40),POWER(1-'Proje girdileri'!AT40,7-6),0)+IF(AND(7&gt;IF('Ayarlar'!$B$7&lt;=0,99,ROUNDUP(MAX('Proje girdileri'!AC40,ROUNDUP('Proje girdileri'!AD40/'Ayarlar'!$B$7,0))/(52/12),0)),7-7&lt;'Proje girdileri'!AH40),POWER(1-'Proje girdileri'!AT40,7-7),0)),IF(7&gt;IF('Ayarlar'!$B$7&lt;=0,99,ROUNDUP(MAX('Proje girdileri'!AC40,ROUNDUP('Proje girdileri'!AD40/'Ayarlar'!$B$7,0))/(52/12),0)),1,0))*('Proje girdileri'!Y40*(1-'Proje girdileri'!AA40-'Proje girdileri'!AB40)-'Proje girdileri'!Z40))-'Proje girdileri'!AJ40)</x:f>
        <x:v>0</x:v>
      </x:c>
      <x:c r="I40" s="24" t="n">
        <x:f>IF(8&gt;'Ayarlar'!$B$6,0,IF(MAX(0,'Ayarlar'!$B$6-IF('Ayarlar'!$B$7&lt;=0,99,ROUNDUP(MAX('Proje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girdileri'!AD40/'Ayarlar'!$B$7,0))/(52/12),0)),8-1&lt;'Proje girdileri'!AH40),POWER(1-'Proje girdileri'!AT40,8-1),0)+IF(AND(2&gt;IF('Ayarlar'!$B$7&lt;=0,99,ROUNDUP(MAX('Proje girdileri'!AC40,ROUNDUP('Proje girdileri'!AD40/'Ayarlar'!$B$7,0))/(52/12),0)),8-2&lt;'Proje girdileri'!AH40),POWER(1-'Proje girdileri'!AT40,8-2),0)+IF(AND(3&gt;IF('Ayarlar'!$B$7&lt;=0,99,ROUNDUP(MAX('Proje girdileri'!AC40,ROUNDUP('Proje girdileri'!AD40/'Ayarlar'!$B$7,0))/(52/12),0)),8-3&lt;'Proje girdileri'!AH40),POWER(1-'Proje girdileri'!AT40,8-3),0)+IF(AND(4&gt;IF('Ayarlar'!$B$7&lt;=0,99,ROUNDUP(MAX('Proje girdileri'!AC40,ROUNDUP('Proje girdileri'!AD40/'Ayarlar'!$B$7,0))/(52/12),0)),8-4&lt;'Proje girdileri'!AH40),POWER(1-'Proje girdileri'!AT40,8-4),0)+IF(AND(5&gt;IF('Ayarlar'!$B$7&lt;=0,99,ROUNDUP(MAX('Proje girdileri'!AC40,ROUNDUP('Proje girdileri'!AD40/'Ayarlar'!$B$7,0))/(52/12),0)),8-5&lt;'Proje girdileri'!AH40),POWER(1-'Proje girdileri'!AT40,8-5),0)+IF(AND(6&gt;IF('Ayarlar'!$B$7&lt;=0,99,ROUNDUP(MAX('Proje girdileri'!AC40,ROUNDUP('Proje girdileri'!AD40/'Ayarlar'!$B$7,0))/(52/12),0)),8-6&lt;'Proje girdileri'!AH40),POWER(1-'Proje girdileri'!AT40,8-6),0)+IF(AND(7&gt;IF('Ayarlar'!$B$7&lt;=0,99,ROUNDUP(MAX('Proje girdileri'!AC40,ROUNDUP('Proje girdileri'!AD40/'Ayarlar'!$B$7,0))/(52/12),0)),8-7&lt;'Proje girdileri'!AH40),POWER(1-'Proje girdileri'!AT40,8-7),0)+IF(AND(8&gt;IF('Ayarlar'!$B$7&lt;=0,99,ROUNDUP(MAX('Proje girdileri'!AC40,ROUNDUP('Proje girdileri'!AD40/'Ayarlar'!$B$7,0))/(52/12),0)),8-8&lt;'Proje girdileri'!AH40),POWER(1-'Proje girdileri'!AT40,8-8),0)),IF(8&gt;IF('Ayarlar'!$B$7&lt;=0,99,ROUNDUP(MAX('Proje girdileri'!AC40,ROUNDUP('Proje girdileri'!AD40/'Ayarlar'!$B$7,0))/(52/12),0)),1,0))*('Proje girdileri'!Y40*(1-'Proje girdileri'!AA40-'Proje girdileri'!AB40)-'Proje girdileri'!Z40))-'Proje girdileri'!AJ40)</x:f>
        <x:v>0</x:v>
      </x:c>
      <x:c r="J40" s="24" t="n">
        <x:f>IF(9&gt;'Ayarlar'!$B$6,0,IF(MAX(0,'Ayarlar'!$B$6-IF('Ayarlar'!$B$7&lt;=0,99,ROUNDUP(MAX('Proje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girdileri'!AD40/'Ayarlar'!$B$7,0))/(52/12),0)),9-1&lt;'Proje girdileri'!AH40),POWER(1-'Proje girdileri'!AT40,9-1),0)+IF(AND(2&gt;IF('Ayarlar'!$B$7&lt;=0,99,ROUNDUP(MAX('Proje girdileri'!AC40,ROUNDUP('Proje girdileri'!AD40/'Ayarlar'!$B$7,0))/(52/12),0)),9-2&lt;'Proje girdileri'!AH40),POWER(1-'Proje girdileri'!AT40,9-2),0)+IF(AND(3&gt;IF('Ayarlar'!$B$7&lt;=0,99,ROUNDUP(MAX('Proje girdileri'!AC40,ROUNDUP('Proje girdileri'!AD40/'Ayarlar'!$B$7,0))/(52/12),0)),9-3&lt;'Proje girdileri'!AH40),POWER(1-'Proje girdileri'!AT40,9-3),0)+IF(AND(4&gt;IF('Ayarlar'!$B$7&lt;=0,99,ROUNDUP(MAX('Proje girdileri'!AC40,ROUNDUP('Proje girdileri'!AD40/'Ayarlar'!$B$7,0))/(52/12),0)),9-4&lt;'Proje girdileri'!AH40),POWER(1-'Proje girdileri'!AT40,9-4),0)+IF(AND(5&gt;IF('Ayarlar'!$B$7&lt;=0,99,ROUNDUP(MAX('Proje girdileri'!AC40,ROUNDUP('Proje girdileri'!AD40/'Ayarlar'!$B$7,0))/(52/12),0)),9-5&lt;'Proje girdileri'!AH40),POWER(1-'Proje girdileri'!AT40,9-5),0)+IF(AND(6&gt;IF('Ayarlar'!$B$7&lt;=0,99,ROUNDUP(MAX('Proje girdileri'!AC40,ROUNDUP('Proje girdileri'!AD40/'Ayarlar'!$B$7,0))/(52/12),0)),9-6&lt;'Proje girdileri'!AH40),POWER(1-'Proje girdileri'!AT40,9-6),0)+IF(AND(7&gt;IF('Ayarlar'!$B$7&lt;=0,99,ROUNDUP(MAX('Proje girdileri'!AC40,ROUNDUP('Proje girdileri'!AD40/'Ayarlar'!$B$7,0))/(52/12),0)),9-7&lt;'Proje girdileri'!AH40),POWER(1-'Proje girdileri'!AT40,9-7),0)+IF(AND(8&gt;IF('Ayarlar'!$B$7&lt;=0,99,ROUNDUP(MAX('Proje girdileri'!AC40,ROUNDUP('Proje girdileri'!AD40/'Ayarlar'!$B$7,0))/(52/12),0)),9-8&lt;'Proje girdileri'!AH40),POWER(1-'Proje girdileri'!AT40,9-8),0)+IF(AND(9&gt;IF('Ayarlar'!$B$7&lt;=0,99,ROUNDUP(MAX('Proje girdileri'!AC40,ROUNDUP('Proje girdileri'!AD40/'Ayarlar'!$B$7,0))/(52/12),0)),9-9&lt;'Proje girdileri'!AH40),POWER(1-'Proje girdileri'!AT40,9-9),0)),IF(9&gt;IF('Ayarlar'!$B$7&lt;=0,99,ROUNDUP(MAX('Proje girdileri'!AC40,ROUNDUP('Proje girdileri'!AD40/'Ayarlar'!$B$7,0))/(52/12),0)),1,0))*('Proje girdileri'!Y40*(1-'Proje girdileri'!AA40-'Proje girdileri'!AB40)-'Proje girdileri'!Z40))-'Proje girdileri'!AJ40)</x:f>
        <x:v>0</x:v>
      </x:c>
      <x:c r="K40" s="24" t="n">
        <x:f>IF(10&gt;'Ayarlar'!$B$6,0,IF(MAX(0,'Ayarlar'!$B$6-IF('Ayarlar'!$B$7&lt;=0,99,ROUNDUP(MAX('Proje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girdileri'!AD40/'Ayarlar'!$B$7,0))/(52/12),0)),10-1&lt;'Proje girdileri'!AH40),POWER(1-'Proje girdileri'!AT40,10-1),0)+IF(AND(2&gt;IF('Ayarlar'!$B$7&lt;=0,99,ROUNDUP(MAX('Proje girdileri'!AC40,ROUNDUP('Proje girdileri'!AD40/'Ayarlar'!$B$7,0))/(52/12),0)),10-2&lt;'Proje girdileri'!AH40),POWER(1-'Proje girdileri'!AT40,10-2),0)+IF(AND(3&gt;IF('Ayarlar'!$B$7&lt;=0,99,ROUNDUP(MAX('Proje girdileri'!AC40,ROUNDUP('Proje girdileri'!AD40/'Ayarlar'!$B$7,0))/(52/12),0)),10-3&lt;'Proje girdileri'!AH40),POWER(1-'Proje girdileri'!AT40,10-3),0)+IF(AND(4&gt;IF('Ayarlar'!$B$7&lt;=0,99,ROUNDUP(MAX('Proje girdileri'!AC40,ROUNDUP('Proje girdileri'!AD40/'Ayarlar'!$B$7,0))/(52/12),0)),10-4&lt;'Proje girdileri'!AH40),POWER(1-'Proje girdileri'!AT40,10-4),0)+IF(AND(5&gt;IF('Ayarlar'!$B$7&lt;=0,99,ROUNDUP(MAX('Proje girdileri'!AC40,ROUNDUP('Proje girdileri'!AD40/'Ayarlar'!$B$7,0))/(52/12),0)),10-5&lt;'Proje girdileri'!AH40),POWER(1-'Proje girdileri'!AT40,10-5),0)+IF(AND(6&gt;IF('Ayarlar'!$B$7&lt;=0,99,ROUNDUP(MAX('Proje girdileri'!AC40,ROUNDUP('Proje girdileri'!AD40/'Ayarlar'!$B$7,0))/(52/12),0)),10-6&lt;'Proje girdileri'!AH40),POWER(1-'Proje girdileri'!AT40,10-6),0)+IF(AND(7&gt;IF('Ayarlar'!$B$7&lt;=0,99,ROUNDUP(MAX('Proje girdileri'!AC40,ROUNDUP('Proje girdileri'!AD40/'Ayarlar'!$B$7,0))/(52/12),0)),10-7&lt;'Proje girdileri'!AH40),POWER(1-'Proje girdileri'!AT40,10-7),0)+IF(AND(8&gt;IF('Ayarlar'!$B$7&lt;=0,99,ROUNDUP(MAX('Proje girdileri'!AC40,ROUNDUP('Proje girdileri'!AD40/'Ayarlar'!$B$7,0))/(52/12),0)),10-8&lt;'Proje girdileri'!AH40),POWER(1-'Proje girdileri'!AT40,10-8),0)+IF(AND(9&gt;IF('Ayarlar'!$B$7&lt;=0,99,ROUNDUP(MAX('Proje girdileri'!AC40,ROUNDUP('Proje girdileri'!AD40/'Ayarlar'!$B$7,0))/(52/12),0)),10-9&lt;'Proje girdileri'!AH40),POWER(1-'Proje girdileri'!AT40,10-9),0)+IF(AND(10&gt;IF('Ayarlar'!$B$7&lt;=0,99,ROUNDUP(MAX('Proje girdileri'!AC40,ROUNDUP('Proje girdileri'!AD40/'Ayarlar'!$B$7,0))/(52/12),0)),10-10&lt;'Proje girdileri'!AH40),POWER(1-'Proje girdileri'!AT40,10-10),0)),IF(10&gt;IF('Ayarlar'!$B$7&lt;=0,99,ROUNDUP(MAX('Proje girdileri'!AC40,ROUNDUP('Proje girdileri'!AD40/'Ayarlar'!$B$7,0))/(52/12),0)),1,0))*('Proje girdileri'!Y40*(1-'Proje girdileri'!AA40-'Proje girdileri'!AB40)-'Proje girdileri'!Z40))-'Proje girdileri'!AJ40)</x:f>
        <x:v>0</x:v>
      </x:c>
      <x:c r="L40" s="24" t="n">
        <x:f>IF(11&gt;'Ayarlar'!$B$6,0,IF(MAX(0,'Ayarlar'!$B$6-IF('Ayarlar'!$B$7&lt;=0,99,ROUNDUP(MAX('Proje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girdileri'!AD40/'Ayarlar'!$B$7,0))/(52/12),0)),11-1&lt;'Proje girdileri'!AH40),POWER(1-'Proje girdileri'!AT40,11-1),0)+IF(AND(2&gt;IF('Ayarlar'!$B$7&lt;=0,99,ROUNDUP(MAX('Proje girdileri'!AC40,ROUNDUP('Proje girdileri'!AD40/'Ayarlar'!$B$7,0))/(52/12),0)),11-2&lt;'Proje girdileri'!AH40),POWER(1-'Proje girdileri'!AT40,11-2),0)+IF(AND(3&gt;IF('Ayarlar'!$B$7&lt;=0,99,ROUNDUP(MAX('Proje girdileri'!AC40,ROUNDUP('Proje girdileri'!AD40/'Ayarlar'!$B$7,0))/(52/12),0)),11-3&lt;'Proje girdileri'!AH40),POWER(1-'Proje girdileri'!AT40,11-3),0)+IF(AND(4&gt;IF('Ayarlar'!$B$7&lt;=0,99,ROUNDUP(MAX('Proje girdileri'!AC40,ROUNDUP('Proje girdileri'!AD40/'Ayarlar'!$B$7,0))/(52/12),0)),11-4&lt;'Proje girdileri'!AH40),POWER(1-'Proje girdileri'!AT40,11-4),0)+IF(AND(5&gt;IF('Ayarlar'!$B$7&lt;=0,99,ROUNDUP(MAX('Proje girdileri'!AC40,ROUNDUP('Proje girdileri'!AD40/'Ayarlar'!$B$7,0))/(52/12),0)),11-5&lt;'Proje girdileri'!AH40),POWER(1-'Proje girdileri'!AT40,11-5),0)+IF(AND(6&gt;IF('Ayarlar'!$B$7&lt;=0,99,ROUNDUP(MAX('Proje girdileri'!AC40,ROUNDUP('Proje girdileri'!AD40/'Ayarlar'!$B$7,0))/(52/12),0)),11-6&lt;'Proje girdileri'!AH40),POWER(1-'Proje girdileri'!AT40,11-6),0)+IF(AND(7&gt;IF('Ayarlar'!$B$7&lt;=0,99,ROUNDUP(MAX('Proje girdileri'!AC40,ROUNDUP('Proje girdileri'!AD40/'Ayarlar'!$B$7,0))/(52/12),0)),11-7&lt;'Proje girdileri'!AH40),POWER(1-'Proje girdileri'!AT40,11-7),0)+IF(AND(8&gt;IF('Ayarlar'!$B$7&lt;=0,99,ROUNDUP(MAX('Proje girdileri'!AC40,ROUNDUP('Proje girdileri'!AD40/'Ayarlar'!$B$7,0))/(52/12),0)),11-8&lt;'Proje girdileri'!AH40),POWER(1-'Proje girdileri'!AT40,11-8),0)+IF(AND(9&gt;IF('Ayarlar'!$B$7&lt;=0,99,ROUNDUP(MAX('Proje girdileri'!AC40,ROUNDUP('Proje girdileri'!AD40/'Ayarlar'!$B$7,0))/(52/12),0)),11-9&lt;'Proje girdileri'!AH40),POWER(1-'Proje girdileri'!AT40,11-9),0)+IF(AND(10&gt;IF('Ayarlar'!$B$7&lt;=0,99,ROUNDUP(MAX('Proje girdileri'!AC40,ROUNDUP('Proje girdileri'!AD40/'Ayarlar'!$B$7,0))/(52/12),0)),11-10&lt;'Proje girdileri'!AH40),POWER(1-'Proje girdileri'!AT40,11-10),0)+IF(AND(11&gt;IF('Ayarlar'!$B$7&lt;=0,99,ROUNDUP(MAX('Proje girdileri'!AC40,ROUNDUP('Proje girdileri'!AD40/'Ayarlar'!$B$7,0))/(52/12),0)),11-11&lt;'Proje girdileri'!AH40),POWER(1-'Proje girdileri'!AT40,11-11),0)),IF(11&gt;IF('Ayarlar'!$B$7&lt;=0,99,ROUNDUP(MAX('Proje girdileri'!AC40,ROUNDUP('Proje girdileri'!AD40/'Ayarlar'!$B$7,0))/(52/12),0)),1,0))*('Proje girdileri'!Y40*(1-'Proje girdileri'!AA40-'Proje girdileri'!AB40)-'Proje girdileri'!Z40))-'Proje girdileri'!AJ40)</x:f>
        <x:v>0</x:v>
      </x:c>
      <x:c r="M40" s="24" t="n">
        <x:f>IF(12&gt;'Ayarlar'!$B$6,0,IF(MAX(0,'Ayarlar'!$B$6-IF('Ayarlar'!$B$7&lt;=0,99,ROUNDUP(MAX('Proje girdileri'!AC40,ROUNDUP('Proje girdileri'!AD40/'Ayarlar'!$B$7,0))/(52/12),0)))=0,0,'Hesap'!I40/MAX(0,'Ayarlar'!$B$6-IF('Ayarlar'!$B$7&lt;=0,99,ROUNDUP(MAX('Proje girdileri'!AC40,ROUNDUP('Proje girdileri'!AD40/'Ayarlar'!$B$7,0))/(52/12),0)))*IF('Proje girdileri'!C40="recurring",(IF(AND(1&gt;IF('Ayarlar'!$B$7&lt;=0,99,ROUNDUP(MAX('Proje girdileri'!AC40,ROUNDUP('Proje girdileri'!AD40/'Ayarlar'!$B$7,0))/(52/12),0)),12-1&lt;'Proje girdileri'!AH40),POWER(1-'Proje girdileri'!AT40,12-1),0)+IF(AND(2&gt;IF('Ayarlar'!$B$7&lt;=0,99,ROUNDUP(MAX('Proje girdileri'!AC40,ROUNDUP('Proje girdileri'!AD40/'Ayarlar'!$B$7,0))/(52/12),0)),12-2&lt;'Proje girdileri'!AH40),POWER(1-'Proje girdileri'!AT40,12-2),0)+IF(AND(3&gt;IF('Ayarlar'!$B$7&lt;=0,99,ROUNDUP(MAX('Proje girdileri'!AC40,ROUNDUP('Proje girdileri'!AD40/'Ayarlar'!$B$7,0))/(52/12),0)),12-3&lt;'Proje girdileri'!AH40),POWER(1-'Proje girdileri'!AT40,12-3),0)+IF(AND(4&gt;IF('Ayarlar'!$B$7&lt;=0,99,ROUNDUP(MAX('Proje girdileri'!AC40,ROUNDUP('Proje girdileri'!AD40/'Ayarlar'!$B$7,0))/(52/12),0)),12-4&lt;'Proje girdileri'!AH40),POWER(1-'Proje girdileri'!AT40,12-4),0)+IF(AND(5&gt;IF('Ayarlar'!$B$7&lt;=0,99,ROUNDUP(MAX('Proje girdileri'!AC40,ROUNDUP('Proje girdileri'!AD40/'Ayarlar'!$B$7,0))/(52/12),0)),12-5&lt;'Proje girdileri'!AH40),POWER(1-'Proje girdileri'!AT40,12-5),0)+IF(AND(6&gt;IF('Ayarlar'!$B$7&lt;=0,99,ROUNDUP(MAX('Proje girdileri'!AC40,ROUNDUP('Proje girdileri'!AD40/'Ayarlar'!$B$7,0))/(52/12),0)),12-6&lt;'Proje girdileri'!AH40),POWER(1-'Proje girdileri'!AT40,12-6),0)+IF(AND(7&gt;IF('Ayarlar'!$B$7&lt;=0,99,ROUNDUP(MAX('Proje girdileri'!AC40,ROUNDUP('Proje girdileri'!AD40/'Ayarlar'!$B$7,0))/(52/12),0)),12-7&lt;'Proje girdileri'!AH40),POWER(1-'Proje girdileri'!AT40,12-7),0)+IF(AND(8&gt;IF('Ayarlar'!$B$7&lt;=0,99,ROUNDUP(MAX('Proje girdileri'!AC40,ROUNDUP('Proje girdileri'!AD40/'Ayarlar'!$B$7,0))/(52/12),0)),12-8&lt;'Proje girdileri'!AH40),POWER(1-'Proje girdileri'!AT40,12-8),0)+IF(AND(9&gt;IF('Ayarlar'!$B$7&lt;=0,99,ROUNDUP(MAX('Proje girdileri'!AC40,ROUNDUP('Proje girdileri'!AD40/'Ayarlar'!$B$7,0))/(52/12),0)),12-9&lt;'Proje girdileri'!AH40),POWER(1-'Proje girdileri'!AT40,12-9),0)+IF(AND(10&gt;IF('Ayarlar'!$B$7&lt;=0,99,ROUNDUP(MAX('Proje girdileri'!AC40,ROUNDUP('Proje girdileri'!AD40/'Ayarlar'!$B$7,0))/(52/12),0)),12-10&lt;'Proje girdileri'!AH40),POWER(1-'Proje girdileri'!AT40,12-10),0)+IF(AND(11&gt;IF('Ayarlar'!$B$7&lt;=0,99,ROUNDUP(MAX('Proje girdileri'!AC40,ROUNDUP('Proje girdileri'!AD40/'Ayarlar'!$B$7,0))/(52/12),0)),12-11&lt;'Proje girdileri'!AH40),POWER(1-'Proje girdileri'!AT40,12-11),0)+IF(AND(12&gt;IF('Ayarlar'!$B$7&lt;=0,99,ROUNDUP(MAX('Proje girdileri'!AC40,ROUNDUP('Proje girdileri'!AD40/'Ayarlar'!$B$7,0))/(52/12),0)),12-12&lt;'Proje girdileri'!AH40),POWER(1-'Proje girdileri'!AT40,12-12),0)),IF(12&gt;IF('Ayarlar'!$B$7&lt;=0,99,ROUNDUP(MAX('Proje girdileri'!AC40,ROUNDUP('Proje girdileri'!AD40/'Ayarlar'!$B$7,0))/(52/12),0)),1,0))*('Proje girdileri'!Y40*(1-'Proje girdileri'!AA40-'Proje girdileri'!AB40)-'Proje girdileri'!Z40))-'Proje girdileri'!AJ40)</x:f>
        <x:v>0</x:v>
      </x:c>
      <x:c r="N40" s="24" t="n">
        <x:f>SUM(B40:M40)</x:f>
        <x:v>1540</x:v>
      </x:c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</x:row>
    <x:row r="41" ht="24" customHeight="1">
      <x:c r="A41" s="2" t="str">
        <x:f>'Hesap'!B41</x:f>
        <x:v>Kurucu model/sunum</x:v>
      </x:c>
      <x:c r="B41" s="24" t="n">
        <x:f>IF(1&gt;'Ayarlar'!$B$6,0,IF(MAX(0,'Ayarlar'!$B$6-IF('Ayarlar'!$B$7&lt;=0,99,ROUNDUP(MAX('Proje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girdileri'!AD41/'Ayarlar'!$B$7,0))/(52/12),0)),1-1&lt;'Proje girdileri'!AH41),POWER(1-'Proje girdileri'!AT41,1-1),0)),IF(1&gt;IF('Ayarlar'!$B$7&lt;=0,99,ROUNDUP(MAX('Proje girdileri'!AC41,ROUNDUP('Proje girdileri'!AD41/'Ayarlar'!$B$7,0))/(52/12),0)),1,0))*('Proje girdileri'!Y41*(1-'Proje girdileri'!AA41-'Proje girdileri'!AB41)-'Proje girdileri'!Z41))-'Proje girdileri'!AJ41-'Proje girdileri'!AI41)</x:f>
        <x:v>-165</x:v>
      </x:c>
      <x:c r="C41" s="24" t="n">
        <x:f>IF(2&gt;'Ayarlar'!$B$6,0,IF(MAX(0,'Ayarlar'!$B$6-IF('Ayarlar'!$B$7&lt;=0,99,ROUNDUP(MAX('Proje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girdileri'!AD41/'Ayarlar'!$B$7,0))/(52/12),0)),2-1&lt;'Proje girdileri'!AH41),POWER(1-'Proje girdileri'!AT41,2-1),0)+IF(AND(2&gt;IF('Ayarlar'!$B$7&lt;=0,99,ROUNDUP(MAX('Proje girdileri'!AC41,ROUNDUP('Proje girdileri'!AD41/'Ayarlar'!$B$7,0))/(52/12),0)),2-2&lt;'Proje girdileri'!AH41),POWER(1-'Proje girdileri'!AT41,2-2),0)),IF(2&gt;IF('Ayarlar'!$B$7&lt;=0,99,ROUNDUP(MAX('Proje girdileri'!AC41,ROUNDUP('Proje girdileri'!AD41/'Ayarlar'!$B$7,0))/(52/12),0)),1,0))*('Proje girdileri'!Y41*(1-'Proje girdileri'!AA41-'Proje girdileri'!AB41)-'Proje girdileri'!Z41))-'Proje girdileri'!AJ41)</x:f>
        <x:v>432.59999999999997</x:v>
      </x:c>
      <x:c r="D41" s="24" t="n">
        <x:f>IF(3&gt;'Ayarlar'!$B$6,0,IF(MAX(0,'Ayarlar'!$B$6-IF('Ayarlar'!$B$7&lt;=0,99,ROUNDUP(MAX('Proje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girdileri'!AD41/'Ayarlar'!$B$7,0))/(52/12),0)),3-1&lt;'Proje girdileri'!AH41),POWER(1-'Proje girdileri'!AT41,3-1),0)+IF(AND(2&gt;IF('Ayarlar'!$B$7&lt;=0,99,ROUNDUP(MAX('Proje girdileri'!AC41,ROUNDUP('Proje girdileri'!AD41/'Ayarlar'!$B$7,0))/(52/12),0)),3-2&lt;'Proje girdileri'!AH41),POWER(1-'Proje girdileri'!AT41,3-2),0)+IF(AND(3&gt;IF('Ayarlar'!$B$7&lt;=0,99,ROUNDUP(MAX('Proje girdileri'!AC41,ROUNDUP('Proje girdileri'!AD41/'Ayarlar'!$B$7,0))/(52/12),0)),3-3&lt;'Proje girdileri'!AH41),POWER(1-'Proje girdileri'!AT41,3-3),0)),IF(3&gt;IF('Ayarlar'!$B$7&lt;=0,99,ROUNDUP(MAX('Proje girdileri'!AC41,ROUNDUP('Proje girdileri'!AD41/'Ayarlar'!$B$7,0))/(52/12),0)),1,0))*('Proje girdileri'!Y41*(1-'Proje girdileri'!AA41-'Proje girdileri'!AB41)-'Proje girdileri'!Z41))-'Proje girdileri'!AJ41)</x:f>
        <x:v>432.59999999999997</x:v>
      </x:c>
      <x:c r="E41" s="24" t="n">
        <x:f>IF(4&gt;'Ayarlar'!$B$6,0,IF(MAX(0,'Ayarlar'!$B$6-IF('Ayarlar'!$B$7&lt;=0,99,ROUNDUP(MAX('Proje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girdileri'!AD41/'Ayarlar'!$B$7,0))/(52/12),0)),4-1&lt;'Proje girdileri'!AH41),POWER(1-'Proje girdileri'!AT41,4-1),0)+IF(AND(2&gt;IF('Ayarlar'!$B$7&lt;=0,99,ROUNDUP(MAX('Proje girdileri'!AC41,ROUNDUP('Proje girdileri'!AD41/'Ayarlar'!$B$7,0))/(52/12),0)),4-2&lt;'Proje girdileri'!AH41),POWER(1-'Proje girdileri'!AT41,4-2),0)+IF(AND(3&gt;IF('Ayarlar'!$B$7&lt;=0,99,ROUNDUP(MAX('Proje girdileri'!AC41,ROUNDUP('Proje girdileri'!AD41/'Ayarlar'!$B$7,0))/(52/12),0)),4-3&lt;'Proje girdileri'!AH41),POWER(1-'Proje girdileri'!AT41,4-3),0)+IF(AND(4&gt;IF('Ayarlar'!$B$7&lt;=0,99,ROUNDUP(MAX('Proje girdileri'!AC41,ROUNDUP('Proje girdileri'!AD41/'Ayarlar'!$B$7,0))/(52/12),0)),4-4&lt;'Proje girdileri'!AH41),POWER(1-'Proje girdileri'!AT41,4-4),0)),IF(4&gt;IF('Ayarlar'!$B$7&lt;=0,99,ROUNDUP(MAX('Proje girdileri'!AC41,ROUNDUP('Proje girdileri'!AD41/'Ayarlar'!$B$7,0))/(52/12),0)),1,0))*('Proje girdileri'!Y41*(1-'Proje girdileri'!AA41-'Proje girdileri'!AB41)-'Proje girdileri'!Z41))-'Proje girdileri'!AJ41)</x:f>
        <x:v>432.59999999999997</x:v>
      </x:c>
      <x:c r="F41" s="24" t="n">
        <x:f>IF(5&gt;'Ayarlar'!$B$6,0,IF(MAX(0,'Ayarlar'!$B$6-IF('Ayarlar'!$B$7&lt;=0,99,ROUNDUP(MAX('Proje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girdileri'!AD41/'Ayarlar'!$B$7,0))/(52/12),0)),5-1&lt;'Proje girdileri'!AH41),POWER(1-'Proje girdileri'!AT41,5-1),0)+IF(AND(2&gt;IF('Ayarlar'!$B$7&lt;=0,99,ROUNDUP(MAX('Proje girdileri'!AC41,ROUNDUP('Proje girdileri'!AD41/'Ayarlar'!$B$7,0))/(52/12),0)),5-2&lt;'Proje girdileri'!AH41),POWER(1-'Proje girdileri'!AT41,5-2),0)+IF(AND(3&gt;IF('Ayarlar'!$B$7&lt;=0,99,ROUNDUP(MAX('Proje girdileri'!AC41,ROUNDUP('Proje girdileri'!AD41/'Ayarlar'!$B$7,0))/(52/12),0)),5-3&lt;'Proje girdileri'!AH41),POWER(1-'Proje girdileri'!AT41,5-3),0)+IF(AND(4&gt;IF('Ayarlar'!$B$7&lt;=0,99,ROUNDUP(MAX('Proje girdileri'!AC41,ROUNDUP('Proje girdileri'!AD41/'Ayarlar'!$B$7,0))/(52/12),0)),5-4&lt;'Proje girdileri'!AH41),POWER(1-'Proje girdileri'!AT41,5-4),0)+IF(AND(5&gt;IF('Ayarlar'!$B$7&lt;=0,99,ROUNDUP(MAX('Proje girdileri'!AC41,ROUNDUP('Proje girdileri'!AD41/'Ayarlar'!$B$7,0))/(52/12),0)),5-5&lt;'Proje girdileri'!AH41),POWER(1-'Proje girdileri'!AT41,5-5),0)),IF(5&gt;IF('Ayarlar'!$B$7&lt;=0,99,ROUNDUP(MAX('Proje girdileri'!AC41,ROUNDUP('Proje girdileri'!AD41/'Ayarlar'!$B$7,0))/(52/12),0)),1,0))*('Proje girdileri'!Y41*(1-'Proje girdileri'!AA41-'Proje girdileri'!AB41)-'Proje girdileri'!Z41))-'Proje girdileri'!AJ41)</x:f>
        <x:v>432.59999999999997</x:v>
      </x:c>
      <x:c r="G41" s="24" t="n">
        <x:f>IF(6&gt;'Ayarlar'!$B$6,0,IF(MAX(0,'Ayarlar'!$B$6-IF('Ayarlar'!$B$7&lt;=0,99,ROUNDUP(MAX('Proje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girdileri'!AD41/'Ayarlar'!$B$7,0))/(52/12),0)),6-1&lt;'Proje girdileri'!AH41),POWER(1-'Proje girdileri'!AT41,6-1),0)+IF(AND(2&gt;IF('Ayarlar'!$B$7&lt;=0,99,ROUNDUP(MAX('Proje girdileri'!AC41,ROUNDUP('Proje girdileri'!AD41/'Ayarlar'!$B$7,0))/(52/12),0)),6-2&lt;'Proje girdileri'!AH41),POWER(1-'Proje girdileri'!AT41,6-2),0)+IF(AND(3&gt;IF('Ayarlar'!$B$7&lt;=0,99,ROUNDUP(MAX('Proje girdileri'!AC41,ROUNDUP('Proje girdileri'!AD41/'Ayarlar'!$B$7,0))/(52/12),0)),6-3&lt;'Proje girdileri'!AH41),POWER(1-'Proje girdileri'!AT41,6-3),0)+IF(AND(4&gt;IF('Ayarlar'!$B$7&lt;=0,99,ROUNDUP(MAX('Proje girdileri'!AC41,ROUNDUP('Proje girdileri'!AD41/'Ayarlar'!$B$7,0))/(52/12),0)),6-4&lt;'Proje girdileri'!AH41),POWER(1-'Proje girdileri'!AT41,6-4),0)+IF(AND(5&gt;IF('Ayarlar'!$B$7&lt;=0,99,ROUNDUP(MAX('Proje girdileri'!AC41,ROUNDUP('Proje girdileri'!AD41/'Ayarlar'!$B$7,0))/(52/12),0)),6-5&lt;'Proje girdileri'!AH41),POWER(1-'Proje girdileri'!AT41,6-5),0)+IF(AND(6&gt;IF('Ayarlar'!$B$7&lt;=0,99,ROUNDUP(MAX('Proje girdileri'!AC41,ROUNDUP('Proje girdileri'!AD41/'Ayarlar'!$B$7,0))/(52/12),0)),6-6&lt;'Proje girdileri'!AH41),POWER(1-'Proje girdileri'!AT41,6-6),0)),IF(6&gt;IF('Ayarlar'!$B$7&lt;=0,99,ROUNDUP(MAX('Proje girdileri'!AC41,ROUNDUP('Proje girdileri'!AD41/'Ayarlar'!$B$7,0))/(52/12),0)),1,0))*('Proje girdileri'!Y41*(1-'Proje girdileri'!AA41-'Proje girdileri'!AB41)-'Proje girdileri'!Z41))-'Proje girdileri'!AJ41)</x:f>
        <x:v>432.59999999999997</x:v>
      </x:c>
      <x:c r="H41" s="24" t="n">
        <x:f>IF(7&gt;'Ayarlar'!$B$6,0,IF(MAX(0,'Ayarlar'!$B$6-IF('Ayarlar'!$B$7&lt;=0,99,ROUNDUP(MAX('Proje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girdileri'!AD41/'Ayarlar'!$B$7,0))/(52/12),0)),7-1&lt;'Proje girdileri'!AH41),POWER(1-'Proje girdileri'!AT41,7-1),0)+IF(AND(2&gt;IF('Ayarlar'!$B$7&lt;=0,99,ROUNDUP(MAX('Proje girdileri'!AC41,ROUNDUP('Proje girdileri'!AD41/'Ayarlar'!$B$7,0))/(52/12),0)),7-2&lt;'Proje girdileri'!AH41),POWER(1-'Proje girdileri'!AT41,7-2),0)+IF(AND(3&gt;IF('Ayarlar'!$B$7&lt;=0,99,ROUNDUP(MAX('Proje girdileri'!AC41,ROUNDUP('Proje girdileri'!AD41/'Ayarlar'!$B$7,0))/(52/12),0)),7-3&lt;'Proje girdileri'!AH41),POWER(1-'Proje girdileri'!AT41,7-3),0)+IF(AND(4&gt;IF('Ayarlar'!$B$7&lt;=0,99,ROUNDUP(MAX('Proje girdileri'!AC41,ROUNDUP('Proje girdileri'!AD41/'Ayarlar'!$B$7,0))/(52/12),0)),7-4&lt;'Proje girdileri'!AH41),POWER(1-'Proje girdileri'!AT41,7-4),0)+IF(AND(5&gt;IF('Ayarlar'!$B$7&lt;=0,99,ROUNDUP(MAX('Proje girdileri'!AC41,ROUNDUP('Proje girdileri'!AD41/'Ayarlar'!$B$7,0))/(52/12),0)),7-5&lt;'Proje girdileri'!AH41),POWER(1-'Proje girdileri'!AT41,7-5),0)+IF(AND(6&gt;IF('Ayarlar'!$B$7&lt;=0,99,ROUNDUP(MAX('Proje girdileri'!AC41,ROUNDUP('Proje girdileri'!AD41/'Ayarlar'!$B$7,0))/(52/12),0)),7-6&lt;'Proje girdileri'!AH41),POWER(1-'Proje girdileri'!AT41,7-6),0)+IF(AND(7&gt;IF('Ayarlar'!$B$7&lt;=0,99,ROUNDUP(MAX('Proje girdileri'!AC41,ROUNDUP('Proje girdileri'!AD41/'Ayarlar'!$B$7,0))/(52/12),0)),7-7&lt;'Proje girdileri'!AH41),POWER(1-'Proje girdileri'!AT41,7-7),0)),IF(7&gt;IF('Ayarlar'!$B$7&lt;=0,99,ROUNDUP(MAX('Proje girdileri'!AC41,ROUNDUP('Proje girdileri'!AD41/'Ayarlar'!$B$7,0))/(52/12),0)),1,0))*('Proje girdileri'!Y41*(1-'Proje girdileri'!AA41-'Proje girdileri'!AB41)-'Proje girdileri'!Z41))-'Proje girdileri'!AJ41)</x:f>
        <x:v>0</x:v>
      </x:c>
      <x:c r="I41" s="24" t="n">
        <x:f>IF(8&gt;'Ayarlar'!$B$6,0,IF(MAX(0,'Ayarlar'!$B$6-IF('Ayarlar'!$B$7&lt;=0,99,ROUNDUP(MAX('Proje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girdileri'!AD41/'Ayarlar'!$B$7,0))/(52/12),0)),8-1&lt;'Proje girdileri'!AH41),POWER(1-'Proje girdileri'!AT41,8-1),0)+IF(AND(2&gt;IF('Ayarlar'!$B$7&lt;=0,99,ROUNDUP(MAX('Proje girdileri'!AC41,ROUNDUP('Proje girdileri'!AD41/'Ayarlar'!$B$7,0))/(52/12),0)),8-2&lt;'Proje girdileri'!AH41),POWER(1-'Proje girdileri'!AT41,8-2),0)+IF(AND(3&gt;IF('Ayarlar'!$B$7&lt;=0,99,ROUNDUP(MAX('Proje girdileri'!AC41,ROUNDUP('Proje girdileri'!AD41/'Ayarlar'!$B$7,0))/(52/12),0)),8-3&lt;'Proje girdileri'!AH41),POWER(1-'Proje girdileri'!AT41,8-3),0)+IF(AND(4&gt;IF('Ayarlar'!$B$7&lt;=0,99,ROUNDUP(MAX('Proje girdileri'!AC41,ROUNDUP('Proje girdileri'!AD41/'Ayarlar'!$B$7,0))/(52/12),0)),8-4&lt;'Proje girdileri'!AH41),POWER(1-'Proje girdileri'!AT41,8-4),0)+IF(AND(5&gt;IF('Ayarlar'!$B$7&lt;=0,99,ROUNDUP(MAX('Proje girdileri'!AC41,ROUNDUP('Proje girdileri'!AD41/'Ayarlar'!$B$7,0))/(52/12),0)),8-5&lt;'Proje girdileri'!AH41),POWER(1-'Proje girdileri'!AT41,8-5),0)+IF(AND(6&gt;IF('Ayarlar'!$B$7&lt;=0,99,ROUNDUP(MAX('Proje girdileri'!AC41,ROUNDUP('Proje girdileri'!AD41/'Ayarlar'!$B$7,0))/(52/12),0)),8-6&lt;'Proje girdileri'!AH41),POWER(1-'Proje girdileri'!AT41,8-6),0)+IF(AND(7&gt;IF('Ayarlar'!$B$7&lt;=0,99,ROUNDUP(MAX('Proje girdileri'!AC41,ROUNDUP('Proje girdileri'!AD41/'Ayarlar'!$B$7,0))/(52/12),0)),8-7&lt;'Proje girdileri'!AH41),POWER(1-'Proje girdileri'!AT41,8-7),0)+IF(AND(8&gt;IF('Ayarlar'!$B$7&lt;=0,99,ROUNDUP(MAX('Proje girdileri'!AC41,ROUNDUP('Proje girdileri'!AD41/'Ayarlar'!$B$7,0))/(52/12),0)),8-8&lt;'Proje girdileri'!AH41),POWER(1-'Proje girdileri'!AT41,8-8),0)),IF(8&gt;IF('Ayarlar'!$B$7&lt;=0,99,ROUNDUP(MAX('Proje girdileri'!AC41,ROUNDUP('Proje girdileri'!AD41/'Ayarlar'!$B$7,0))/(52/12),0)),1,0))*('Proje girdileri'!Y41*(1-'Proje girdileri'!AA41-'Proje girdileri'!AB41)-'Proje girdileri'!Z41))-'Proje girdileri'!AJ41)</x:f>
        <x:v>0</x:v>
      </x:c>
      <x:c r="J41" s="24" t="n">
        <x:f>IF(9&gt;'Ayarlar'!$B$6,0,IF(MAX(0,'Ayarlar'!$B$6-IF('Ayarlar'!$B$7&lt;=0,99,ROUNDUP(MAX('Proje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girdileri'!AD41/'Ayarlar'!$B$7,0))/(52/12),0)),9-1&lt;'Proje girdileri'!AH41),POWER(1-'Proje girdileri'!AT41,9-1),0)+IF(AND(2&gt;IF('Ayarlar'!$B$7&lt;=0,99,ROUNDUP(MAX('Proje girdileri'!AC41,ROUNDUP('Proje girdileri'!AD41/'Ayarlar'!$B$7,0))/(52/12),0)),9-2&lt;'Proje girdileri'!AH41),POWER(1-'Proje girdileri'!AT41,9-2),0)+IF(AND(3&gt;IF('Ayarlar'!$B$7&lt;=0,99,ROUNDUP(MAX('Proje girdileri'!AC41,ROUNDUP('Proje girdileri'!AD41/'Ayarlar'!$B$7,0))/(52/12),0)),9-3&lt;'Proje girdileri'!AH41),POWER(1-'Proje girdileri'!AT41,9-3),0)+IF(AND(4&gt;IF('Ayarlar'!$B$7&lt;=0,99,ROUNDUP(MAX('Proje girdileri'!AC41,ROUNDUP('Proje girdileri'!AD41/'Ayarlar'!$B$7,0))/(52/12),0)),9-4&lt;'Proje girdileri'!AH41),POWER(1-'Proje girdileri'!AT41,9-4),0)+IF(AND(5&gt;IF('Ayarlar'!$B$7&lt;=0,99,ROUNDUP(MAX('Proje girdileri'!AC41,ROUNDUP('Proje girdileri'!AD41/'Ayarlar'!$B$7,0))/(52/12),0)),9-5&lt;'Proje girdileri'!AH41),POWER(1-'Proje girdileri'!AT41,9-5),0)+IF(AND(6&gt;IF('Ayarlar'!$B$7&lt;=0,99,ROUNDUP(MAX('Proje girdileri'!AC41,ROUNDUP('Proje girdileri'!AD41/'Ayarlar'!$B$7,0))/(52/12),0)),9-6&lt;'Proje girdileri'!AH41),POWER(1-'Proje girdileri'!AT41,9-6),0)+IF(AND(7&gt;IF('Ayarlar'!$B$7&lt;=0,99,ROUNDUP(MAX('Proje girdileri'!AC41,ROUNDUP('Proje girdileri'!AD41/'Ayarlar'!$B$7,0))/(52/12),0)),9-7&lt;'Proje girdileri'!AH41),POWER(1-'Proje girdileri'!AT41,9-7),0)+IF(AND(8&gt;IF('Ayarlar'!$B$7&lt;=0,99,ROUNDUP(MAX('Proje girdileri'!AC41,ROUNDUP('Proje girdileri'!AD41/'Ayarlar'!$B$7,0))/(52/12),0)),9-8&lt;'Proje girdileri'!AH41),POWER(1-'Proje girdileri'!AT41,9-8),0)+IF(AND(9&gt;IF('Ayarlar'!$B$7&lt;=0,99,ROUNDUP(MAX('Proje girdileri'!AC41,ROUNDUP('Proje girdileri'!AD41/'Ayarlar'!$B$7,0))/(52/12),0)),9-9&lt;'Proje girdileri'!AH41),POWER(1-'Proje girdileri'!AT41,9-9),0)),IF(9&gt;IF('Ayarlar'!$B$7&lt;=0,99,ROUNDUP(MAX('Proje girdileri'!AC41,ROUNDUP('Proje girdileri'!AD41/'Ayarlar'!$B$7,0))/(52/12),0)),1,0))*('Proje girdileri'!Y41*(1-'Proje girdileri'!AA41-'Proje girdileri'!AB41)-'Proje girdileri'!Z41))-'Proje girdileri'!AJ41)</x:f>
        <x:v>0</x:v>
      </x:c>
      <x:c r="K41" s="24" t="n">
        <x:f>IF(10&gt;'Ayarlar'!$B$6,0,IF(MAX(0,'Ayarlar'!$B$6-IF('Ayarlar'!$B$7&lt;=0,99,ROUNDUP(MAX('Proje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girdileri'!AD41/'Ayarlar'!$B$7,0))/(52/12),0)),10-1&lt;'Proje girdileri'!AH41),POWER(1-'Proje girdileri'!AT41,10-1),0)+IF(AND(2&gt;IF('Ayarlar'!$B$7&lt;=0,99,ROUNDUP(MAX('Proje girdileri'!AC41,ROUNDUP('Proje girdileri'!AD41/'Ayarlar'!$B$7,0))/(52/12),0)),10-2&lt;'Proje girdileri'!AH41),POWER(1-'Proje girdileri'!AT41,10-2),0)+IF(AND(3&gt;IF('Ayarlar'!$B$7&lt;=0,99,ROUNDUP(MAX('Proje girdileri'!AC41,ROUNDUP('Proje girdileri'!AD41/'Ayarlar'!$B$7,0))/(52/12),0)),10-3&lt;'Proje girdileri'!AH41),POWER(1-'Proje girdileri'!AT41,10-3),0)+IF(AND(4&gt;IF('Ayarlar'!$B$7&lt;=0,99,ROUNDUP(MAX('Proje girdileri'!AC41,ROUNDUP('Proje girdileri'!AD41/'Ayarlar'!$B$7,0))/(52/12),0)),10-4&lt;'Proje girdileri'!AH41),POWER(1-'Proje girdileri'!AT41,10-4),0)+IF(AND(5&gt;IF('Ayarlar'!$B$7&lt;=0,99,ROUNDUP(MAX('Proje girdileri'!AC41,ROUNDUP('Proje girdileri'!AD41/'Ayarlar'!$B$7,0))/(52/12),0)),10-5&lt;'Proje girdileri'!AH41),POWER(1-'Proje girdileri'!AT41,10-5),0)+IF(AND(6&gt;IF('Ayarlar'!$B$7&lt;=0,99,ROUNDUP(MAX('Proje girdileri'!AC41,ROUNDUP('Proje girdileri'!AD41/'Ayarlar'!$B$7,0))/(52/12),0)),10-6&lt;'Proje girdileri'!AH41),POWER(1-'Proje girdileri'!AT41,10-6),0)+IF(AND(7&gt;IF('Ayarlar'!$B$7&lt;=0,99,ROUNDUP(MAX('Proje girdileri'!AC41,ROUNDUP('Proje girdileri'!AD41/'Ayarlar'!$B$7,0))/(52/12),0)),10-7&lt;'Proje girdileri'!AH41),POWER(1-'Proje girdileri'!AT41,10-7),0)+IF(AND(8&gt;IF('Ayarlar'!$B$7&lt;=0,99,ROUNDUP(MAX('Proje girdileri'!AC41,ROUNDUP('Proje girdileri'!AD41/'Ayarlar'!$B$7,0))/(52/12),0)),10-8&lt;'Proje girdileri'!AH41),POWER(1-'Proje girdileri'!AT41,10-8),0)+IF(AND(9&gt;IF('Ayarlar'!$B$7&lt;=0,99,ROUNDUP(MAX('Proje girdileri'!AC41,ROUNDUP('Proje girdileri'!AD41/'Ayarlar'!$B$7,0))/(52/12),0)),10-9&lt;'Proje girdileri'!AH41),POWER(1-'Proje girdileri'!AT41,10-9),0)+IF(AND(10&gt;IF('Ayarlar'!$B$7&lt;=0,99,ROUNDUP(MAX('Proje girdileri'!AC41,ROUNDUP('Proje girdileri'!AD41/'Ayarlar'!$B$7,0))/(52/12),0)),10-10&lt;'Proje girdileri'!AH41),POWER(1-'Proje girdileri'!AT41,10-10),0)),IF(10&gt;IF('Ayarlar'!$B$7&lt;=0,99,ROUNDUP(MAX('Proje girdileri'!AC41,ROUNDUP('Proje girdileri'!AD41/'Ayarlar'!$B$7,0))/(52/12),0)),1,0))*('Proje girdileri'!Y41*(1-'Proje girdileri'!AA41-'Proje girdileri'!AB41)-'Proje girdileri'!Z41))-'Proje girdileri'!AJ41)</x:f>
        <x:v>0</x:v>
      </x:c>
      <x:c r="L41" s="24" t="n">
        <x:f>IF(11&gt;'Ayarlar'!$B$6,0,IF(MAX(0,'Ayarlar'!$B$6-IF('Ayarlar'!$B$7&lt;=0,99,ROUNDUP(MAX('Proje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girdileri'!AD41/'Ayarlar'!$B$7,0))/(52/12),0)),11-1&lt;'Proje girdileri'!AH41),POWER(1-'Proje girdileri'!AT41,11-1),0)+IF(AND(2&gt;IF('Ayarlar'!$B$7&lt;=0,99,ROUNDUP(MAX('Proje girdileri'!AC41,ROUNDUP('Proje girdileri'!AD41/'Ayarlar'!$B$7,0))/(52/12),0)),11-2&lt;'Proje girdileri'!AH41),POWER(1-'Proje girdileri'!AT41,11-2),0)+IF(AND(3&gt;IF('Ayarlar'!$B$7&lt;=0,99,ROUNDUP(MAX('Proje girdileri'!AC41,ROUNDUP('Proje girdileri'!AD41/'Ayarlar'!$B$7,0))/(52/12),0)),11-3&lt;'Proje girdileri'!AH41),POWER(1-'Proje girdileri'!AT41,11-3),0)+IF(AND(4&gt;IF('Ayarlar'!$B$7&lt;=0,99,ROUNDUP(MAX('Proje girdileri'!AC41,ROUNDUP('Proje girdileri'!AD41/'Ayarlar'!$B$7,0))/(52/12),0)),11-4&lt;'Proje girdileri'!AH41),POWER(1-'Proje girdileri'!AT41,11-4),0)+IF(AND(5&gt;IF('Ayarlar'!$B$7&lt;=0,99,ROUNDUP(MAX('Proje girdileri'!AC41,ROUNDUP('Proje girdileri'!AD41/'Ayarlar'!$B$7,0))/(52/12),0)),11-5&lt;'Proje girdileri'!AH41),POWER(1-'Proje girdileri'!AT41,11-5),0)+IF(AND(6&gt;IF('Ayarlar'!$B$7&lt;=0,99,ROUNDUP(MAX('Proje girdileri'!AC41,ROUNDUP('Proje girdileri'!AD41/'Ayarlar'!$B$7,0))/(52/12),0)),11-6&lt;'Proje girdileri'!AH41),POWER(1-'Proje girdileri'!AT41,11-6),0)+IF(AND(7&gt;IF('Ayarlar'!$B$7&lt;=0,99,ROUNDUP(MAX('Proje girdileri'!AC41,ROUNDUP('Proje girdileri'!AD41/'Ayarlar'!$B$7,0))/(52/12),0)),11-7&lt;'Proje girdileri'!AH41),POWER(1-'Proje girdileri'!AT41,11-7),0)+IF(AND(8&gt;IF('Ayarlar'!$B$7&lt;=0,99,ROUNDUP(MAX('Proje girdileri'!AC41,ROUNDUP('Proje girdileri'!AD41/'Ayarlar'!$B$7,0))/(52/12),0)),11-8&lt;'Proje girdileri'!AH41),POWER(1-'Proje girdileri'!AT41,11-8),0)+IF(AND(9&gt;IF('Ayarlar'!$B$7&lt;=0,99,ROUNDUP(MAX('Proje girdileri'!AC41,ROUNDUP('Proje girdileri'!AD41/'Ayarlar'!$B$7,0))/(52/12),0)),11-9&lt;'Proje girdileri'!AH41),POWER(1-'Proje girdileri'!AT41,11-9),0)+IF(AND(10&gt;IF('Ayarlar'!$B$7&lt;=0,99,ROUNDUP(MAX('Proje girdileri'!AC41,ROUNDUP('Proje girdileri'!AD41/'Ayarlar'!$B$7,0))/(52/12),0)),11-10&lt;'Proje girdileri'!AH41),POWER(1-'Proje girdileri'!AT41,11-10),0)+IF(AND(11&gt;IF('Ayarlar'!$B$7&lt;=0,99,ROUNDUP(MAX('Proje girdileri'!AC41,ROUNDUP('Proje girdileri'!AD41/'Ayarlar'!$B$7,0))/(52/12),0)),11-11&lt;'Proje girdileri'!AH41),POWER(1-'Proje girdileri'!AT41,11-11),0)),IF(11&gt;IF('Ayarlar'!$B$7&lt;=0,99,ROUNDUP(MAX('Proje girdileri'!AC41,ROUNDUP('Proje girdileri'!AD41/'Ayarlar'!$B$7,0))/(52/12),0)),1,0))*('Proje girdileri'!Y41*(1-'Proje girdileri'!AA41-'Proje girdileri'!AB41)-'Proje girdileri'!Z41))-'Proje girdileri'!AJ41)</x:f>
        <x:v>0</x:v>
      </x:c>
      <x:c r="M41" s="24" t="n">
        <x:f>IF(12&gt;'Ayarlar'!$B$6,0,IF(MAX(0,'Ayarlar'!$B$6-IF('Ayarlar'!$B$7&lt;=0,99,ROUNDUP(MAX('Proje girdileri'!AC41,ROUNDUP('Proje girdileri'!AD41/'Ayarlar'!$B$7,0))/(52/12),0)))=0,0,'Hesap'!I41/MAX(0,'Ayarlar'!$B$6-IF('Ayarlar'!$B$7&lt;=0,99,ROUNDUP(MAX('Proje girdileri'!AC41,ROUNDUP('Proje girdileri'!AD41/'Ayarlar'!$B$7,0))/(52/12),0)))*IF('Proje girdileri'!C41="recurring",(IF(AND(1&gt;IF('Ayarlar'!$B$7&lt;=0,99,ROUNDUP(MAX('Proje girdileri'!AC41,ROUNDUP('Proje girdileri'!AD41/'Ayarlar'!$B$7,0))/(52/12),0)),12-1&lt;'Proje girdileri'!AH41),POWER(1-'Proje girdileri'!AT41,12-1),0)+IF(AND(2&gt;IF('Ayarlar'!$B$7&lt;=0,99,ROUNDUP(MAX('Proje girdileri'!AC41,ROUNDUP('Proje girdileri'!AD41/'Ayarlar'!$B$7,0))/(52/12),0)),12-2&lt;'Proje girdileri'!AH41),POWER(1-'Proje girdileri'!AT41,12-2),0)+IF(AND(3&gt;IF('Ayarlar'!$B$7&lt;=0,99,ROUNDUP(MAX('Proje girdileri'!AC41,ROUNDUP('Proje girdileri'!AD41/'Ayarlar'!$B$7,0))/(52/12),0)),12-3&lt;'Proje girdileri'!AH41),POWER(1-'Proje girdileri'!AT41,12-3),0)+IF(AND(4&gt;IF('Ayarlar'!$B$7&lt;=0,99,ROUNDUP(MAX('Proje girdileri'!AC41,ROUNDUP('Proje girdileri'!AD41/'Ayarlar'!$B$7,0))/(52/12),0)),12-4&lt;'Proje girdileri'!AH41),POWER(1-'Proje girdileri'!AT41,12-4),0)+IF(AND(5&gt;IF('Ayarlar'!$B$7&lt;=0,99,ROUNDUP(MAX('Proje girdileri'!AC41,ROUNDUP('Proje girdileri'!AD41/'Ayarlar'!$B$7,0))/(52/12),0)),12-5&lt;'Proje girdileri'!AH41),POWER(1-'Proje girdileri'!AT41,12-5),0)+IF(AND(6&gt;IF('Ayarlar'!$B$7&lt;=0,99,ROUNDUP(MAX('Proje girdileri'!AC41,ROUNDUP('Proje girdileri'!AD41/'Ayarlar'!$B$7,0))/(52/12),0)),12-6&lt;'Proje girdileri'!AH41),POWER(1-'Proje girdileri'!AT41,12-6),0)+IF(AND(7&gt;IF('Ayarlar'!$B$7&lt;=0,99,ROUNDUP(MAX('Proje girdileri'!AC41,ROUNDUP('Proje girdileri'!AD41/'Ayarlar'!$B$7,0))/(52/12),0)),12-7&lt;'Proje girdileri'!AH41),POWER(1-'Proje girdileri'!AT41,12-7),0)+IF(AND(8&gt;IF('Ayarlar'!$B$7&lt;=0,99,ROUNDUP(MAX('Proje girdileri'!AC41,ROUNDUP('Proje girdileri'!AD41/'Ayarlar'!$B$7,0))/(52/12),0)),12-8&lt;'Proje girdileri'!AH41),POWER(1-'Proje girdileri'!AT41,12-8),0)+IF(AND(9&gt;IF('Ayarlar'!$B$7&lt;=0,99,ROUNDUP(MAX('Proje girdileri'!AC41,ROUNDUP('Proje girdileri'!AD41/'Ayarlar'!$B$7,0))/(52/12),0)),12-9&lt;'Proje girdileri'!AH41),POWER(1-'Proje girdileri'!AT41,12-9),0)+IF(AND(10&gt;IF('Ayarlar'!$B$7&lt;=0,99,ROUNDUP(MAX('Proje girdileri'!AC41,ROUNDUP('Proje girdileri'!AD41/'Ayarlar'!$B$7,0))/(52/12),0)),12-10&lt;'Proje girdileri'!AH41),POWER(1-'Proje girdileri'!AT41,12-10),0)+IF(AND(11&gt;IF('Ayarlar'!$B$7&lt;=0,99,ROUNDUP(MAX('Proje girdileri'!AC41,ROUNDUP('Proje girdileri'!AD41/'Ayarlar'!$B$7,0))/(52/12),0)),12-11&lt;'Proje girdileri'!AH41),POWER(1-'Proje girdileri'!AT41,12-11),0)+IF(AND(12&gt;IF('Ayarlar'!$B$7&lt;=0,99,ROUNDUP(MAX('Proje girdileri'!AC41,ROUNDUP('Proje girdileri'!AD41/'Ayarlar'!$B$7,0))/(52/12),0)),12-12&lt;'Proje girdileri'!AH41),POWER(1-'Proje girdileri'!AT41,12-12),0)),IF(12&gt;IF('Ayarlar'!$B$7&lt;=0,99,ROUNDUP(MAX('Proje girdileri'!AC41,ROUNDUP('Proje girdileri'!AD41/'Ayarlar'!$B$7,0))/(52/12),0)),1,0))*('Proje girdileri'!Y41*(1-'Proje girdileri'!AA41-'Proje girdileri'!AB41)-'Proje girdileri'!Z41))-'Proje girdileri'!AJ41)</x:f>
        <x:v>0</x:v>
      </x:c>
      <x:c r="N41" s="24" t="n">
        <x:f>SUM(B41:M41)</x:f>
        <x:v>1997.9999999999998</x:v>
      </x:c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</x:row>
    <x:row r="42" ht="24" customHeight="1">
      <x:c r="A42" s="2" t="str">
        <x:f>'Hesap'!B42</x:f>
        <x:v>Strateji seçenek karşılaştırma</x:v>
      </x:c>
      <x:c r="B42" s="24" t="n">
        <x:f>IF(1&gt;'Ayarlar'!$B$6,0,IF(MAX(0,'Ayarlar'!$B$6-IF('Ayarlar'!$B$7&lt;=0,99,ROUNDUP(MAX('Proje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girdileri'!AD42/'Ayarlar'!$B$7,0))/(52/12),0)),1-1&lt;'Proje girdileri'!AH42),POWER(1-'Proje girdileri'!AT42,1-1),0)),IF(1&gt;IF('Ayarlar'!$B$7&lt;=0,99,ROUNDUP(MAX('Proje girdileri'!AC42,ROUNDUP('Proje girdileri'!AD42/'Ayarlar'!$B$7,0))/(52/12),0)),1,0))*('Proje girdileri'!Y42*(1-'Proje girdileri'!AA42-'Proje girdileri'!AB42)-'Proje girdileri'!Z42))-'Proje girdileri'!AJ42-'Proje girdileri'!AI42)</x:f>
        <x:v>-83</x:v>
      </x:c>
      <x:c r="C42" s="24" t="n">
        <x:f>IF(2&gt;'Ayarlar'!$B$6,0,IF(MAX(0,'Ayarlar'!$B$6-IF('Ayarlar'!$B$7&lt;=0,99,ROUNDUP(MAX('Proje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girdileri'!AD42/'Ayarlar'!$B$7,0))/(52/12),0)),2-1&lt;'Proje girdileri'!AH42),POWER(1-'Proje girdileri'!AT42,2-1),0)+IF(AND(2&gt;IF('Ayarlar'!$B$7&lt;=0,99,ROUNDUP(MAX('Proje girdileri'!AC42,ROUNDUP('Proje girdileri'!AD42/'Ayarlar'!$B$7,0))/(52/12),0)),2-2&lt;'Proje girdileri'!AH42),POWER(1-'Proje girdileri'!AT42,2-2),0)),IF(2&gt;IF('Ayarlar'!$B$7&lt;=0,99,ROUNDUP(MAX('Proje girdileri'!AC42,ROUNDUP('Proje girdileri'!AD42/'Ayarlar'!$B$7,0))/(52/12),0)),1,0))*('Proje girdileri'!Y42*(1-'Proje girdileri'!AA42-'Proje girdileri'!AB42)-'Proje girdileri'!Z42))-'Proje girdileri'!AJ42)</x:f>
        <x:v>145.29999999999998</x:v>
      </x:c>
      <x:c r="D42" s="24" t="n">
        <x:f>IF(3&gt;'Ayarlar'!$B$6,0,IF(MAX(0,'Ayarlar'!$B$6-IF('Ayarlar'!$B$7&lt;=0,99,ROUNDUP(MAX('Proje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girdileri'!AD42/'Ayarlar'!$B$7,0))/(52/12),0)),3-1&lt;'Proje girdileri'!AH42),POWER(1-'Proje girdileri'!AT42,3-1),0)+IF(AND(2&gt;IF('Ayarlar'!$B$7&lt;=0,99,ROUNDUP(MAX('Proje girdileri'!AC42,ROUNDUP('Proje girdileri'!AD42/'Ayarlar'!$B$7,0))/(52/12),0)),3-2&lt;'Proje girdileri'!AH42),POWER(1-'Proje girdileri'!AT42,3-2),0)+IF(AND(3&gt;IF('Ayarlar'!$B$7&lt;=0,99,ROUNDUP(MAX('Proje girdileri'!AC42,ROUNDUP('Proje girdileri'!AD42/'Ayarlar'!$B$7,0))/(52/12),0)),3-3&lt;'Proje girdileri'!AH42),POWER(1-'Proje girdileri'!AT42,3-3),0)),IF(3&gt;IF('Ayarlar'!$B$7&lt;=0,99,ROUNDUP(MAX('Proje girdileri'!AC42,ROUNDUP('Proje girdileri'!AD42/'Ayarlar'!$B$7,0))/(52/12),0)),1,0))*('Proje girdileri'!Y42*(1-'Proje girdileri'!AA42-'Proje girdileri'!AB42)-'Proje girdileri'!Z42))-'Proje girdileri'!AJ42)</x:f>
        <x:v>145.29999999999998</x:v>
      </x:c>
      <x:c r="E42" s="24" t="n">
        <x:f>IF(4&gt;'Ayarlar'!$B$6,0,IF(MAX(0,'Ayarlar'!$B$6-IF('Ayarlar'!$B$7&lt;=0,99,ROUNDUP(MAX('Proje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girdileri'!AD42/'Ayarlar'!$B$7,0))/(52/12),0)),4-1&lt;'Proje girdileri'!AH42),POWER(1-'Proje girdileri'!AT42,4-1),0)+IF(AND(2&gt;IF('Ayarlar'!$B$7&lt;=0,99,ROUNDUP(MAX('Proje girdileri'!AC42,ROUNDUP('Proje girdileri'!AD42/'Ayarlar'!$B$7,0))/(52/12),0)),4-2&lt;'Proje girdileri'!AH42),POWER(1-'Proje girdileri'!AT42,4-2),0)+IF(AND(3&gt;IF('Ayarlar'!$B$7&lt;=0,99,ROUNDUP(MAX('Proje girdileri'!AC42,ROUNDUP('Proje girdileri'!AD42/'Ayarlar'!$B$7,0))/(52/12),0)),4-3&lt;'Proje girdileri'!AH42),POWER(1-'Proje girdileri'!AT42,4-3),0)+IF(AND(4&gt;IF('Ayarlar'!$B$7&lt;=0,99,ROUNDUP(MAX('Proje girdileri'!AC42,ROUNDUP('Proje girdileri'!AD42/'Ayarlar'!$B$7,0))/(52/12),0)),4-4&lt;'Proje girdileri'!AH42),POWER(1-'Proje girdileri'!AT42,4-4),0)),IF(4&gt;IF('Ayarlar'!$B$7&lt;=0,99,ROUNDUP(MAX('Proje girdileri'!AC42,ROUNDUP('Proje girdileri'!AD42/'Ayarlar'!$B$7,0))/(52/12),0)),1,0))*('Proje girdileri'!Y42*(1-'Proje girdileri'!AA42-'Proje girdileri'!AB42)-'Proje girdileri'!Z42))-'Proje girdileri'!AJ42)</x:f>
        <x:v>145.29999999999998</x:v>
      </x:c>
      <x:c r="F42" s="24" t="n">
        <x:f>IF(5&gt;'Ayarlar'!$B$6,0,IF(MAX(0,'Ayarlar'!$B$6-IF('Ayarlar'!$B$7&lt;=0,99,ROUNDUP(MAX('Proje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girdileri'!AD42/'Ayarlar'!$B$7,0))/(52/12),0)),5-1&lt;'Proje girdileri'!AH42),POWER(1-'Proje girdileri'!AT42,5-1),0)+IF(AND(2&gt;IF('Ayarlar'!$B$7&lt;=0,99,ROUNDUP(MAX('Proje girdileri'!AC42,ROUNDUP('Proje girdileri'!AD42/'Ayarlar'!$B$7,0))/(52/12),0)),5-2&lt;'Proje girdileri'!AH42),POWER(1-'Proje girdileri'!AT42,5-2),0)+IF(AND(3&gt;IF('Ayarlar'!$B$7&lt;=0,99,ROUNDUP(MAX('Proje girdileri'!AC42,ROUNDUP('Proje girdileri'!AD42/'Ayarlar'!$B$7,0))/(52/12),0)),5-3&lt;'Proje girdileri'!AH42),POWER(1-'Proje girdileri'!AT42,5-3),0)+IF(AND(4&gt;IF('Ayarlar'!$B$7&lt;=0,99,ROUNDUP(MAX('Proje girdileri'!AC42,ROUNDUP('Proje girdileri'!AD42/'Ayarlar'!$B$7,0))/(52/12),0)),5-4&lt;'Proje girdileri'!AH42),POWER(1-'Proje girdileri'!AT42,5-4),0)+IF(AND(5&gt;IF('Ayarlar'!$B$7&lt;=0,99,ROUNDUP(MAX('Proje girdileri'!AC42,ROUNDUP('Proje girdileri'!AD42/'Ayarlar'!$B$7,0))/(52/12),0)),5-5&lt;'Proje girdileri'!AH42),POWER(1-'Proje girdileri'!AT42,5-5),0)),IF(5&gt;IF('Ayarlar'!$B$7&lt;=0,99,ROUNDUP(MAX('Proje girdileri'!AC42,ROUNDUP('Proje girdileri'!AD42/'Ayarlar'!$B$7,0))/(52/12),0)),1,0))*('Proje girdileri'!Y42*(1-'Proje girdileri'!AA42-'Proje girdileri'!AB42)-'Proje girdileri'!Z42))-'Proje girdileri'!AJ42)</x:f>
        <x:v>145.29999999999998</x:v>
      </x:c>
      <x:c r="G42" s="24" t="n">
        <x:f>IF(6&gt;'Ayarlar'!$B$6,0,IF(MAX(0,'Ayarlar'!$B$6-IF('Ayarlar'!$B$7&lt;=0,99,ROUNDUP(MAX('Proje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girdileri'!AD42/'Ayarlar'!$B$7,0))/(52/12),0)),6-1&lt;'Proje girdileri'!AH42),POWER(1-'Proje girdileri'!AT42,6-1),0)+IF(AND(2&gt;IF('Ayarlar'!$B$7&lt;=0,99,ROUNDUP(MAX('Proje girdileri'!AC42,ROUNDUP('Proje girdileri'!AD42/'Ayarlar'!$B$7,0))/(52/12),0)),6-2&lt;'Proje girdileri'!AH42),POWER(1-'Proje girdileri'!AT42,6-2),0)+IF(AND(3&gt;IF('Ayarlar'!$B$7&lt;=0,99,ROUNDUP(MAX('Proje girdileri'!AC42,ROUNDUP('Proje girdileri'!AD42/'Ayarlar'!$B$7,0))/(52/12),0)),6-3&lt;'Proje girdileri'!AH42),POWER(1-'Proje girdileri'!AT42,6-3),0)+IF(AND(4&gt;IF('Ayarlar'!$B$7&lt;=0,99,ROUNDUP(MAX('Proje girdileri'!AC42,ROUNDUP('Proje girdileri'!AD42/'Ayarlar'!$B$7,0))/(52/12),0)),6-4&lt;'Proje girdileri'!AH42),POWER(1-'Proje girdileri'!AT42,6-4),0)+IF(AND(5&gt;IF('Ayarlar'!$B$7&lt;=0,99,ROUNDUP(MAX('Proje girdileri'!AC42,ROUNDUP('Proje girdileri'!AD42/'Ayarlar'!$B$7,0))/(52/12),0)),6-5&lt;'Proje girdileri'!AH42),POWER(1-'Proje girdileri'!AT42,6-5),0)+IF(AND(6&gt;IF('Ayarlar'!$B$7&lt;=0,99,ROUNDUP(MAX('Proje girdileri'!AC42,ROUNDUP('Proje girdileri'!AD42/'Ayarlar'!$B$7,0))/(52/12),0)),6-6&lt;'Proje girdileri'!AH42),POWER(1-'Proje girdileri'!AT42,6-6),0)),IF(6&gt;IF('Ayarlar'!$B$7&lt;=0,99,ROUNDUP(MAX('Proje girdileri'!AC42,ROUNDUP('Proje girdileri'!AD42/'Ayarlar'!$B$7,0))/(52/12),0)),1,0))*('Proje girdileri'!Y42*(1-'Proje girdileri'!AA42-'Proje girdileri'!AB42)-'Proje girdileri'!Z42))-'Proje girdileri'!AJ42)</x:f>
        <x:v>145.29999999999998</x:v>
      </x:c>
      <x:c r="H42" s="24" t="n">
        <x:f>IF(7&gt;'Ayarlar'!$B$6,0,IF(MAX(0,'Ayarlar'!$B$6-IF('Ayarlar'!$B$7&lt;=0,99,ROUNDUP(MAX('Proje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girdileri'!AD42/'Ayarlar'!$B$7,0))/(52/12),0)),7-1&lt;'Proje girdileri'!AH42),POWER(1-'Proje girdileri'!AT42,7-1),0)+IF(AND(2&gt;IF('Ayarlar'!$B$7&lt;=0,99,ROUNDUP(MAX('Proje girdileri'!AC42,ROUNDUP('Proje girdileri'!AD42/'Ayarlar'!$B$7,0))/(52/12),0)),7-2&lt;'Proje girdileri'!AH42),POWER(1-'Proje girdileri'!AT42,7-2),0)+IF(AND(3&gt;IF('Ayarlar'!$B$7&lt;=0,99,ROUNDUP(MAX('Proje girdileri'!AC42,ROUNDUP('Proje girdileri'!AD42/'Ayarlar'!$B$7,0))/(52/12),0)),7-3&lt;'Proje girdileri'!AH42),POWER(1-'Proje girdileri'!AT42,7-3),0)+IF(AND(4&gt;IF('Ayarlar'!$B$7&lt;=0,99,ROUNDUP(MAX('Proje girdileri'!AC42,ROUNDUP('Proje girdileri'!AD42/'Ayarlar'!$B$7,0))/(52/12),0)),7-4&lt;'Proje girdileri'!AH42),POWER(1-'Proje girdileri'!AT42,7-4),0)+IF(AND(5&gt;IF('Ayarlar'!$B$7&lt;=0,99,ROUNDUP(MAX('Proje girdileri'!AC42,ROUNDUP('Proje girdileri'!AD42/'Ayarlar'!$B$7,0))/(52/12),0)),7-5&lt;'Proje girdileri'!AH42),POWER(1-'Proje girdileri'!AT42,7-5),0)+IF(AND(6&gt;IF('Ayarlar'!$B$7&lt;=0,99,ROUNDUP(MAX('Proje girdileri'!AC42,ROUNDUP('Proje girdileri'!AD42/'Ayarlar'!$B$7,0))/(52/12),0)),7-6&lt;'Proje girdileri'!AH42),POWER(1-'Proje girdileri'!AT42,7-6),0)+IF(AND(7&gt;IF('Ayarlar'!$B$7&lt;=0,99,ROUNDUP(MAX('Proje girdileri'!AC42,ROUNDUP('Proje girdileri'!AD42/'Ayarlar'!$B$7,0))/(52/12),0)),7-7&lt;'Proje girdileri'!AH42),POWER(1-'Proje girdileri'!AT42,7-7),0)),IF(7&gt;IF('Ayarlar'!$B$7&lt;=0,99,ROUNDUP(MAX('Proje girdileri'!AC42,ROUNDUP('Proje girdileri'!AD42/'Ayarlar'!$B$7,0))/(52/12),0)),1,0))*('Proje girdileri'!Y42*(1-'Proje girdileri'!AA42-'Proje girdileri'!AB42)-'Proje girdileri'!Z42))-'Proje girdileri'!AJ42)</x:f>
        <x:v>0</x:v>
      </x:c>
      <x:c r="I42" s="24" t="n">
        <x:f>IF(8&gt;'Ayarlar'!$B$6,0,IF(MAX(0,'Ayarlar'!$B$6-IF('Ayarlar'!$B$7&lt;=0,99,ROUNDUP(MAX('Proje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girdileri'!AD42/'Ayarlar'!$B$7,0))/(52/12),0)),8-1&lt;'Proje girdileri'!AH42),POWER(1-'Proje girdileri'!AT42,8-1),0)+IF(AND(2&gt;IF('Ayarlar'!$B$7&lt;=0,99,ROUNDUP(MAX('Proje girdileri'!AC42,ROUNDUP('Proje girdileri'!AD42/'Ayarlar'!$B$7,0))/(52/12),0)),8-2&lt;'Proje girdileri'!AH42),POWER(1-'Proje girdileri'!AT42,8-2),0)+IF(AND(3&gt;IF('Ayarlar'!$B$7&lt;=0,99,ROUNDUP(MAX('Proje girdileri'!AC42,ROUNDUP('Proje girdileri'!AD42/'Ayarlar'!$B$7,0))/(52/12),0)),8-3&lt;'Proje girdileri'!AH42),POWER(1-'Proje girdileri'!AT42,8-3),0)+IF(AND(4&gt;IF('Ayarlar'!$B$7&lt;=0,99,ROUNDUP(MAX('Proje girdileri'!AC42,ROUNDUP('Proje girdileri'!AD42/'Ayarlar'!$B$7,0))/(52/12),0)),8-4&lt;'Proje girdileri'!AH42),POWER(1-'Proje girdileri'!AT42,8-4),0)+IF(AND(5&gt;IF('Ayarlar'!$B$7&lt;=0,99,ROUNDUP(MAX('Proje girdileri'!AC42,ROUNDUP('Proje girdileri'!AD42/'Ayarlar'!$B$7,0))/(52/12),0)),8-5&lt;'Proje girdileri'!AH42),POWER(1-'Proje girdileri'!AT42,8-5),0)+IF(AND(6&gt;IF('Ayarlar'!$B$7&lt;=0,99,ROUNDUP(MAX('Proje girdileri'!AC42,ROUNDUP('Proje girdileri'!AD42/'Ayarlar'!$B$7,0))/(52/12),0)),8-6&lt;'Proje girdileri'!AH42),POWER(1-'Proje girdileri'!AT42,8-6),0)+IF(AND(7&gt;IF('Ayarlar'!$B$7&lt;=0,99,ROUNDUP(MAX('Proje girdileri'!AC42,ROUNDUP('Proje girdileri'!AD42/'Ayarlar'!$B$7,0))/(52/12),0)),8-7&lt;'Proje girdileri'!AH42),POWER(1-'Proje girdileri'!AT42,8-7),0)+IF(AND(8&gt;IF('Ayarlar'!$B$7&lt;=0,99,ROUNDUP(MAX('Proje girdileri'!AC42,ROUNDUP('Proje girdileri'!AD42/'Ayarlar'!$B$7,0))/(52/12),0)),8-8&lt;'Proje girdileri'!AH42),POWER(1-'Proje girdileri'!AT42,8-8),0)),IF(8&gt;IF('Ayarlar'!$B$7&lt;=0,99,ROUNDUP(MAX('Proje girdileri'!AC42,ROUNDUP('Proje girdileri'!AD42/'Ayarlar'!$B$7,0))/(52/12),0)),1,0))*('Proje girdileri'!Y42*(1-'Proje girdileri'!AA42-'Proje girdileri'!AB42)-'Proje girdileri'!Z42))-'Proje girdileri'!AJ42)</x:f>
        <x:v>0</x:v>
      </x:c>
      <x:c r="J42" s="24" t="n">
        <x:f>IF(9&gt;'Ayarlar'!$B$6,0,IF(MAX(0,'Ayarlar'!$B$6-IF('Ayarlar'!$B$7&lt;=0,99,ROUNDUP(MAX('Proje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girdileri'!AD42/'Ayarlar'!$B$7,0))/(52/12),0)),9-1&lt;'Proje girdileri'!AH42),POWER(1-'Proje girdileri'!AT42,9-1),0)+IF(AND(2&gt;IF('Ayarlar'!$B$7&lt;=0,99,ROUNDUP(MAX('Proje girdileri'!AC42,ROUNDUP('Proje girdileri'!AD42/'Ayarlar'!$B$7,0))/(52/12),0)),9-2&lt;'Proje girdileri'!AH42),POWER(1-'Proje girdileri'!AT42,9-2),0)+IF(AND(3&gt;IF('Ayarlar'!$B$7&lt;=0,99,ROUNDUP(MAX('Proje girdileri'!AC42,ROUNDUP('Proje girdileri'!AD42/'Ayarlar'!$B$7,0))/(52/12),0)),9-3&lt;'Proje girdileri'!AH42),POWER(1-'Proje girdileri'!AT42,9-3),0)+IF(AND(4&gt;IF('Ayarlar'!$B$7&lt;=0,99,ROUNDUP(MAX('Proje girdileri'!AC42,ROUNDUP('Proje girdileri'!AD42/'Ayarlar'!$B$7,0))/(52/12),0)),9-4&lt;'Proje girdileri'!AH42),POWER(1-'Proje girdileri'!AT42,9-4),0)+IF(AND(5&gt;IF('Ayarlar'!$B$7&lt;=0,99,ROUNDUP(MAX('Proje girdileri'!AC42,ROUNDUP('Proje girdileri'!AD42/'Ayarlar'!$B$7,0))/(52/12),0)),9-5&lt;'Proje girdileri'!AH42),POWER(1-'Proje girdileri'!AT42,9-5),0)+IF(AND(6&gt;IF('Ayarlar'!$B$7&lt;=0,99,ROUNDUP(MAX('Proje girdileri'!AC42,ROUNDUP('Proje girdileri'!AD42/'Ayarlar'!$B$7,0))/(52/12),0)),9-6&lt;'Proje girdileri'!AH42),POWER(1-'Proje girdileri'!AT42,9-6),0)+IF(AND(7&gt;IF('Ayarlar'!$B$7&lt;=0,99,ROUNDUP(MAX('Proje girdileri'!AC42,ROUNDUP('Proje girdileri'!AD42/'Ayarlar'!$B$7,0))/(52/12),0)),9-7&lt;'Proje girdileri'!AH42),POWER(1-'Proje girdileri'!AT42,9-7),0)+IF(AND(8&gt;IF('Ayarlar'!$B$7&lt;=0,99,ROUNDUP(MAX('Proje girdileri'!AC42,ROUNDUP('Proje girdileri'!AD42/'Ayarlar'!$B$7,0))/(52/12),0)),9-8&lt;'Proje girdileri'!AH42),POWER(1-'Proje girdileri'!AT42,9-8),0)+IF(AND(9&gt;IF('Ayarlar'!$B$7&lt;=0,99,ROUNDUP(MAX('Proje girdileri'!AC42,ROUNDUP('Proje girdileri'!AD42/'Ayarlar'!$B$7,0))/(52/12),0)),9-9&lt;'Proje girdileri'!AH42),POWER(1-'Proje girdileri'!AT42,9-9),0)),IF(9&gt;IF('Ayarlar'!$B$7&lt;=0,99,ROUNDUP(MAX('Proje girdileri'!AC42,ROUNDUP('Proje girdileri'!AD42/'Ayarlar'!$B$7,0))/(52/12),0)),1,0))*('Proje girdileri'!Y42*(1-'Proje girdileri'!AA42-'Proje girdileri'!AB42)-'Proje girdileri'!Z42))-'Proje girdileri'!AJ42)</x:f>
        <x:v>0</x:v>
      </x:c>
      <x:c r="K42" s="24" t="n">
        <x:f>IF(10&gt;'Ayarlar'!$B$6,0,IF(MAX(0,'Ayarlar'!$B$6-IF('Ayarlar'!$B$7&lt;=0,99,ROUNDUP(MAX('Proje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girdileri'!AD42/'Ayarlar'!$B$7,0))/(52/12),0)),10-1&lt;'Proje girdileri'!AH42),POWER(1-'Proje girdileri'!AT42,10-1),0)+IF(AND(2&gt;IF('Ayarlar'!$B$7&lt;=0,99,ROUNDUP(MAX('Proje girdileri'!AC42,ROUNDUP('Proje girdileri'!AD42/'Ayarlar'!$B$7,0))/(52/12),0)),10-2&lt;'Proje girdileri'!AH42),POWER(1-'Proje girdileri'!AT42,10-2),0)+IF(AND(3&gt;IF('Ayarlar'!$B$7&lt;=0,99,ROUNDUP(MAX('Proje girdileri'!AC42,ROUNDUP('Proje girdileri'!AD42/'Ayarlar'!$B$7,0))/(52/12),0)),10-3&lt;'Proje girdileri'!AH42),POWER(1-'Proje girdileri'!AT42,10-3),0)+IF(AND(4&gt;IF('Ayarlar'!$B$7&lt;=0,99,ROUNDUP(MAX('Proje girdileri'!AC42,ROUNDUP('Proje girdileri'!AD42/'Ayarlar'!$B$7,0))/(52/12),0)),10-4&lt;'Proje girdileri'!AH42),POWER(1-'Proje girdileri'!AT42,10-4),0)+IF(AND(5&gt;IF('Ayarlar'!$B$7&lt;=0,99,ROUNDUP(MAX('Proje girdileri'!AC42,ROUNDUP('Proje girdileri'!AD42/'Ayarlar'!$B$7,0))/(52/12),0)),10-5&lt;'Proje girdileri'!AH42),POWER(1-'Proje girdileri'!AT42,10-5),0)+IF(AND(6&gt;IF('Ayarlar'!$B$7&lt;=0,99,ROUNDUP(MAX('Proje girdileri'!AC42,ROUNDUP('Proje girdileri'!AD42/'Ayarlar'!$B$7,0))/(52/12),0)),10-6&lt;'Proje girdileri'!AH42),POWER(1-'Proje girdileri'!AT42,10-6),0)+IF(AND(7&gt;IF('Ayarlar'!$B$7&lt;=0,99,ROUNDUP(MAX('Proje girdileri'!AC42,ROUNDUP('Proje girdileri'!AD42/'Ayarlar'!$B$7,0))/(52/12),0)),10-7&lt;'Proje girdileri'!AH42),POWER(1-'Proje girdileri'!AT42,10-7),0)+IF(AND(8&gt;IF('Ayarlar'!$B$7&lt;=0,99,ROUNDUP(MAX('Proje girdileri'!AC42,ROUNDUP('Proje girdileri'!AD42/'Ayarlar'!$B$7,0))/(52/12),0)),10-8&lt;'Proje girdileri'!AH42),POWER(1-'Proje girdileri'!AT42,10-8),0)+IF(AND(9&gt;IF('Ayarlar'!$B$7&lt;=0,99,ROUNDUP(MAX('Proje girdileri'!AC42,ROUNDUP('Proje girdileri'!AD42/'Ayarlar'!$B$7,0))/(52/12),0)),10-9&lt;'Proje girdileri'!AH42),POWER(1-'Proje girdileri'!AT42,10-9),0)+IF(AND(10&gt;IF('Ayarlar'!$B$7&lt;=0,99,ROUNDUP(MAX('Proje girdileri'!AC42,ROUNDUP('Proje girdileri'!AD42/'Ayarlar'!$B$7,0))/(52/12),0)),10-10&lt;'Proje girdileri'!AH42),POWER(1-'Proje girdileri'!AT42,10-10),0)),IF(10&gt;IF('Ayarlar'!$B$7&lt;=0,99,ROUNDUP(MAX('Proje girdileri'!AC42,ROUNDUP('Proje girdileri'!AD42/'Ayarlar'!$B$7,0))/(52/12),0)),1,0))*('Proje girdileri'!Y42*(1-'Proje girdileri'!AA42-'Proje girdileri'!AB42)-'Proje girdileri'!Z42))-'Proje girdileri'!AJ42)</x:f>
        <x:v>0</x:v>
      </x:c>
      <x:c r="L42" s="24" t="n">
        <x:f>IF(11&gt;'Ayarlar'!$B$6,0,IF(MAX(0,'Ayarlar'!$B$6-IF('Ayarlar'!$B$7&lt;=0,99,ROUNDUP(MAX('Proje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girdileri'!AD42/'Ayarlar'!$B$7,0))/(52/12),0)),11-1&lt;'Proje girdileri'!AH42),POWER(1-'Proje girdileri'!AT42,11-1),0)+IF(AND(2&gt;IF('Ayarlar'!$B$7&lt;=0,99,ROUNDUP(MAX('Proje girdileri'!AC42,ROUNDUP('Proje girdileri'!AD42/'Ayarlar'!$B$7,0))/(52/12),0)),11-2&lt;'Proje girdileri'!AH42),POWER(1-'Proje girdileri'!AT42,11-2),0)+IF(AND(3&gt;IF('Ayarlar'!$B$7&lt;=0,99,ROUNDUP(MAX('Proje girdileri'!AC42,ROUNDUP('Proje girdileri'!AD42/'Ayarlar'!$B$7,0))/(52/12),0)),11-3&lt;'Proje girdileri'!AH42),POWER(1-'Proje girdileri'!AT42,11-3),0)+IF(AND(4&gt;IF('Ayarlar'!$B$7&lt;=0,99,ROUNDUP(MAX('Proje girdileri'!AC42,ROUNDUP('Proje girdileri'!AD42/'Ayarlar'!$B$7,0))/(52/12),0)),11-4&lt;'Proje girdileri'!AH42),POWER(1-'Proje girdileri'!AT42,11-4),0)+IF(AND(5&gt;IF('Ayarlar'!$B$7&lt;=0,99,ROUNDUP(MAX('Proje girdileri'!AC42,ROUNDUP('Proje girdileri'!AD42/'Ayarlar'!$B$7,0))/(52/12),0)),11-5&lt;'Proje girdileri'!AH42),POWER(1-'Proje girdileri'!AT42,11-5),0)+IF(AND(6&gt;IF('Ayarlar'!$B$7&lt;=0,99,ROUNDUP(MAX('Proje girdileri'!AC42,ROUNDUP('Proje girdileri'!AD42/'Ayarlar'!$B$7,0))/(52/12),0)),11-6&lt;'Proje girdileri'!AH42),POWER(1-'Proje girdileri'!AT42,11-6),0)+IF(AND(7&gt;IF('Ayarlar'!$B$7&lt;=0,99,ROUNDUP(MAX('Proje girdileri'!AC42,ROUNDUP('Proje girdileri'!AD42/'Ayarlar'!$B$7,0))/(52/12),0)),11-7&lt;'Proje girdileri'!AH42),POWER(1-'Proje girdileri'!AT42,11-7),0)+IF(AND(8&gt;IF('Ayarlar'!$B$7&lt;=0,99,ROUNDUP(MAX('Proje girdileri'!AC42,ROUNDUP('Proje girdileri'!AD42/'Ayarlar'!$B$7,0))/(52/12),0)),11-8&lt;'Proje girdileri'!AH42),POWER(1-'Proje girdileri'!AT42,11-8),0)+IF(AND(9&gt;IF('Ayarlar'!$B$7&lt;=0,99,ROUNDUP(MAX('Proje girdileri'!AC42,ROUNDUP('Proje girdileri'!AD42/'Ayarlar'!$B$7,0))/(52/12),0)),11-9&lt;'Proje girdileri'!AH42),POWER(1-'Proje girdileri'!AT42,11-9),0)+IF(AND(10&gt;IF('Ayarlar'!$B$7&lt;=0,99,ROUNDUP(MAX('Proje girdileri'!AC42,ROUNDUP('Proje girdileri'!AD42/'Ayarlar'!$B$7,0))/(52/12),0)),11-10&lt;'Proje girdileri'!AH42),POWER(1-'Proje girdileri'!AT42,11-10),0)+IF(AND(11&gt;IF('Ayarlar'!$B$7&lt;=0,99,ROUNDUP(MAX('Proje girdileri'!AC42,ROUNDUP('Proje girdileri'!AD42/'Ayarlar'!$B$7,0))/(52/12),0)),11-11&lt;'Proje girdileri'!AH42),POWER(1-'Proje girdileri'!AT42,11-11),0)),IF(11&gt;IF('Ayarlar'!$B$7&lt;=0,99,ROUNDUP(MAX('Proje girdileri'!AC42,ROUNDUP('Proje girdileri'!AD42/'Ayarlar'!$B$7,0))/(52/12),0)),1,0))*('Proje girdileri'!Y42*(1-'Proje girdileri'!AA42-'Proje girdileri'!AB42)-'Proje girdileri'!Z42))-'Proje girdileri'!AJ42)</x:f>
        <x:v>0</x:v>
      </x:c>
      <x:c r="M42" s="24" t="n">
        <x:f>IF(12&gt;'Ayarlar'!$B$6,0,IF(MAX(0,'Ayarlar'!$B$6-IF('Ayarlar'!$B$7&lt;=0,99,ROUNDUP(MAX('Proje girdileri'!AC42,ROUNDUP('Proje girdileri'!AD42/'Ayarlar'!$B$7,0))/(52/12),0)))=0,0,'Hesap'!I42/MAX(0,'Ayarlar'!$B$6-IF('Ayarlar'!$B$7&lt;=0,99,ROUNDUP(MAX('Proje girdileri'!AC42,ROUNDUP('Proje girdileri'!AD42/'Ayarlar'!$B$7,0))/(52/12),0)))*IF('Proje girdileri'!C42="recurring",(IF(AND(1&gt;IF('Ayarlar'!$B$7&lt;=0,99,ROUNDUP(MAX('Proje girdileri'!AC42,ROUNDUP('Proje girdileri'!AD42/'Ayarlar'!$B$7,0))/(52/12),0)),12-1&lt;'Proje girdileri'!AH42),POWER(1-'Proje girdileri'!AT42,12-1),0)+IF(AND(2&gt;IF('Ayarlar'!$B$7&lt;=0,99,ROUNDUP(MAX('Proje girdileri'!AC42,ROUNDUP('Proje girdileri'!AD42/'Ayarlar'!$B$7,0))/(52/12),0)),12-2&lt;'Proje girdileri'!AH42),POWER(1-'Proje girdileri'!AT42,12-2),0)+IF(AND(3&gt;IF('Ayarlar'!$B$7&lt;=0,99,ROUNDUP(MAX('Proje girdileri'!AC42,ROUNDUP('Proje girdileri'!AD42/'Ayarlar'!$B$7,0))/(52/12),0)),12-3&lt;'Proje girdileri'!AH42),POWER(1-'Proje girdileri'!AT42,12-3),0)+IF(AND(4&gt;IF('Ayarlar'!$B$7&lt;=0,99,ROUNDUP(MAX('Proje girdileri'!AC42,ROUNDUP('Proje girdileri'!AD42/'Ayarlar'!$B$7,0))/(52/12),0)),12-4&lt;'Proje girdileri'!AH42),POWER(1-'Proje girdileri'!AT42,12-4),0)+IF(AND(5&gt;IF('Ayarlar'!$B$7&lt;=0,99,ROUNDUP(MAX('Proje girdileri'!AC42,ROUNDUP('Proje girdileri'!AD42/'Ayarlar'!$B$7,0))/(52/12),0)),12-5&lt;'Proje girdileri'!AH42),POWER(1-'Proje girdileri'!AT42,12-5),0)+IF(AND(6&gt;IF('Ayarlar'!$B$7&lt;=0,99,ROUNDUP(MAX('Proje girdileri'!AC42,ROUNDUP('Proje girdileri'!AD42/'Ayarlar'!$B$7,0))/(52/12),0)),12-6&lt;'Proje girdileri'!AH42),POWER(1-'Proje girdileri'!AT42,12-6),0)+IF(AND(7&gt;IF('Ayarlar'!$B$7&lt;=0,99,ROUNDUP(MAX('Proje girdileri'!AC42,ROUNDUP('Proje girdileri'!AD42/'Ayarlar'!$B$7,0))/(52/12),0)),12-7&lt;'Proje girdileri'!AH42),POWER(1-'Proje girdileri'!AT42,12-7),0)+IF(AND(8&gt;IF('Ayarlar'!$B$7&lt;=0,99,ROUNDUP(MAX('Proje girdileri'!AC42,ROUNDUP('Proje girdileri'!AD42/'Ayarlar'!$B$7,0))/(52/12),0)),12-8&lt;'Proje girdileri'!AH42),POWER(1-'Proje girdileri'!AT42,12-8),0)+IF(AND(9&gt;IF('Ayarlar'!$B$7&lt;=0,99,ROUNDUP(MAX('Proje girdileri'!AC42,ROUNDUP('Proje girdileri'!AD42/'Ayarlar'!$B$7,0))/(52/12),0)),12-9&lt;'Proje girdileri'!AH42),POWER(1-'Proje girdileri'!AT42,12-9),0)+IF(AND(10&gt;IF('Ayarlar'!$B$7&lt;=0,99,ROUNDUP(MAX('Proje girdileri'!AC42,ROUNDUP('Proje girdileri'!AD42/'Ayarlar'!$B$7,0))/(52/12),0)),12-10&lt;'Proje girdileri'!AH42),POWER(1-'Proje girdileri'!AT42,12-10),0)+IF(AND(11&gt;IF('Ayarlar'!$B$7&lt;=0,99,ROUNDUP(MAX('Proje girdileri'!AC42,ROUNDUP('Proje girdileri'!AD42/'Ayarlar'!$B$7,0))/(52/12),0)),12-11&lt;'Proje girdileri'!AH42),POWER(1-'Proje girdileri'!AT42,12-11),0)+IF(AND(12&gt;IF('Ayarlar'!$B$7&lt;=0,99,ROUNDUP(MAX('Proje girdileri'!AC42,ROUNDUP('Proje girdileri'!AD42/'Ayarlar'!$B$7,0))/(52/12),0)),12-12&lt;'Proje girdileri'!AH42),POWER(1-'Proje girdileri'!AT42,12-12),0)),IF(12&gt;IF('Ayarlar'!$B$7&lt;=0,99,ROUNDUP(MAX('Proje girdileri'!AC42,ROUNDUP('Proje girdileri'!AD42/'Ayarlar'!$B$7,0))/(52/12),0)),1,0))*('Proje girdileri'!Y42*(1-'Proje girdileri'!AA42-'Proje girdileri'!AB42)-'Proje girdileri'!Z42))-'Proje girdileri'!AJ42)</x:f>
        <x:v>0</x:v>
      </x:c>
      <x:c r="N42" s="24" t="n">
        <x:f>SUM(B42:M42)</x:f>
        <x:v>643.4999999999999</x:v>
      </x:c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</x:row>
    <x:row r="43" ht="24" customHeight="1">
      <x:c r="A43" s="2" t="str">
        <x:f>'Hesap'!B43</x:f>
        <x:v>SKU katkı analitiği</x:v>
      </x:c>
      <x:c r="B43" s="24" t="n">
        <x:f>IF(1&gt;'Ayarlar'!$B$6,0,IF(MAX(0,'Ayarlar'!$B$6-IF('Ayarlar'!$B$7&lt;=0,99,ROUNDUP(MAX('Proje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girdileri'!AD43/'Ayarlar'!$B$7,0))/(52/12),0)),1-1&lt;'Proje girdileri'!AH43),POWER(1-'Proje girdileri'!AT43,1-1),0)),IF(1&gt;IF('Ayarlar'!$B$7&lt;=0,99,ROUNDUP(MAX('Proje girdileri'!AC43,ROUNDUP('Proje girdileri'!AD43/'Ayarlar'!$B$7,0))/(52/12),0)),1,0))*('Proje girdileri'!Y43*(1-'Proje girdileri'!AA43-'Proje girdileri'!AB43)-'Proje girdileri'!Z43))-'Proje girdileri'!AJ43-'Proje girdileri'!AI43)</x:f>
        <x:v>-110</x:v>
      </x:c>
      <x:c r="C43" s="24" t="n">
        <x:f>IF(2&gt;'Ayarlar'!$B$6,0,IF(MAX(0,'Ayarlar'!$B$6-IF('Ayarlar'!$B$7&lt;=0,99,ROUNDUP(MAX('Proje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girdileri'!AD43/'Ayarlar'!$B$7,0))/(52/12),0)),2-1&lt;'Proje girdileri'!AH43),POWER(1-'Proje girdileri'!AT43,2-1),0)+IF(AND(2&gt;IF('Ayarlar'!$B$7&lt;=0,99,ROUNDUP(MAX('Proje girdileri'!AC43,ROUNDUP('Proje girdileri'!AD43/'Ayarlar'!$B$7,0))/(52/12),0)),2-2&lt;'Proje girdileri'!AH43),POWER(1-'Proje girdileri'!AT43,2-2),0)),IF(2&gt;IF('Ayarlar'!$B$7&lt;=0,99,ROUNDUP(MAX('Proje girdileri'!AC43,ROUNDUP('Proje girdileri'!AD43/'Ayarlar'!$B$7,0))/(52/12),0)),1,0))*('Proje girdileri'!Y43*(1-'Proje girdileri'!AA43-'Proje girdileri'!AB43)-'Proje girdileri'!Z43))-'Proje girdileri'!AJ43)</x:f>
        <x:v>-10</x:v>
      </x:c>
      <x:c r="D43" s="24" t="n">
        <x:f>IF(3&gt;'Ayarlar'!$B$6,0,IF(MAX(0,'Ayarlar'!$B$6-IF('Ayarlar'!$B$7&lt;=0,99,ROUNDUP(MAX('Proje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girdileri'!AD43/'Ayarlar'!$B$7,0))/(52/12),0)),3-1&lt;'Proje girdileri'!AH43),POWER(1-'Proje girdileri'!AT43,3-1),0)+IF(AND(2&gt;IF('Ayarlar'!$B$7&lt;=0,99,ROUNDUP(MAX('Proje girdileri'!AC43,ROUNDUP('Proje girdileri'!AD43/'Ayarlar'!$B$7,0))/(52/12),0)),3-2&lt;'Proje girdileri'!AH43),POWER(1-'Proje girdileri'!AT43,3-2),0)+IF(AND(3&gt;IF('Ayarlar'!$B$7&lt;=0,99,ROUNDUP(MAX('Proje girdileri'!AC43,ROUNDUP('Proje girdileri'!AD43/'Ayarlar'!$B$7,0))/(52/12),0)),3-3&lt;'Proje girdileri'!AH43),POWER(1-'Proje girdileri'!AT43,3-3),0)),IF(3&gt;IF('Ayarlar'!$B$7&lt;=0,99,ROUNDUP(MAX('Proje girdileri'!AC43,ROUNDUP('Proje girdileri'!AD43/'Ayarlar'!$B$7,0))/(52/12),0)),1,0))*('Proje girdileri'!Y43*(1-'Proje girdileri'!AA43-'Proje girdileri'!AB43)-'Proje girdileri'!Z43))-'Proje girdileri'!AJ43)</x:f>
        <x:v>51.71</x:v>
      </x:c>
      <x:c r="E43" s="24" t="n">
        <x:f>IF(4&gt;'Ayarlar'!$B$6,0,IF(MAX(0,'Ayarlar'!$B$6-IF('Ayarlar'!$B$7&lt;=0,99,ROUNDUP(MAX('Proje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girdileri'!AD43/'Ayarlar'!$B$7,0))/(52/12),0)),4-1&lt;'Proje girdileri'!AH43),POWER(1-'Proje girdileri'!AT43,4-1),0)+IF(AND(2&gt;IF('Ayarlar'!$B$7&lt;=0,99,ROUNDUP(MAX('Proje girdileri'!AC43,ROUNDUP('Proje girdileri'!AD43/'Ayarlar'!$B$7,0))/(52/12),0)),4-2&lt;'Proje girdileri'!AH43),POWER(1-'Proje girdileri'!AT43,4-2),0)+IF(AND(3&gt;IF('Ayarlar'!$B$7&lt;=0,99,ROUNDUP(MAX('Proje girdileri'!AC43,ROUNDUP('Proje girdileri'!AD43/'Ayarlar'!$B$7,0))/(52/12),0)),4-3&lt;'Proje girdileri'!AH43),POWER(1-'Proje girdileri'!AT43,4-3),0)+IF(AND(4&gt;IF('Ayarlar'!$B$7&lt;=0,99,ROUNDUP(MAX('Proje girdileri'!AC43,ROUNDUP('Proje girdileri'!AD43/'Ayarlar'!$B$7,0))/(52/12),0)),4-4&lt;'Proje girdileri'!AH43),POWER(1-'Proje girdileri'!AT43,4-4),0)),IF(4&gt;IF('Ayarlar'!$B$7&lt;=0,99,ROUNDUP(MAX('Proje girdileri'!AC43,ROUNDUP('Proje girdileri'!AD43/'Ayarlar'!$B$7,0))/(52/12),0)),1,0))*('Proje girdileri'!Y43*(1-'Proje girdileri'!AA43-'Proje girdileri'!AB43)-'Proje girdileri'!Z43))-'Proje girdileri'!AJ43)</x:f>
        <x:v>51.71</x:v>
      </x:c>
      <x:c r="F43" s="24" t="n">
        <x:f>IF(5&gt;'Ayarlar'!$B$6,0,IF(MAX(0,'Ayarlar'!$B$6-IF('Ayarlar'!$B$7&lt;=0,99,ROUNDUP(MAX('Proje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girdileri'!AD43/'Ayarlar'!$B$7,0))/(52/12),0)),5-1&lt;'Proje girdileri'!AH43),POWER(1-'Proje girdileri'!AT43,5-1),0)+IF(AND(2&gt;IF('Ayarlar'!$B$7&lt;=0,99,ROUNDUP(MAX('Proje girdileri'!AC43,ROUNDUP('Proje girdileri'!AD43/'Ayarlar'!$B$7,0))/(52/12),0)),5-2&lt;'Proje girdileri'!AH43),POWER(1-'Proje girdileri'!AT43,5-2),0)+IF(AND(3&gt;IF('Ayarlar'!$B$7&lt;=0,99,ROUNDUP(MAX('Proje girdileri'!AC43,ROUNDUP('Proje girdileri'!AD43/'Ayarlar'!$B$7,0))/(52/12),0)),5-3&lt;'Proje girdileri'!AH43),POWER(1-'Proje girdileri'!AT43,5-3),0)+IF(AND(4&gt;IF('Ayarlar'!$B$7&lt;=0,99,ROUNDUP(MAX('Proje girdileri'!AC43,ROUNDUP('Proje girdileri'!AD43/'Ayarlar'!$B$7,0))/(52/12),0)),5-4&lt;'Proje girdileri'!AH43),POWER(1-'Proje girdileri'!AT43,5-4),0)+IF(AND(5&gt;IF('Ayarlar'!$B$7&lt;=0,99,ROUNDUP(MAX('Proje girdileri'!AC43,ROUNDUP('Proje girdileri'!AD43/'Ayarlar'!$B$7,0))/(52/12),0)),5-5&lt;'Proje girdileri'!AH43),POWER(1-'Proje girdileri'!AT43,5-5),0)),IF(5&gt;IF('Ayarlar'!$B$7&lt;=0,99,ROUNDUP(MAX('Proje girdileri'!AC43,ROUNDUP('Proje girdileri'!AD43/'Ayarlar'!$B$7,0))/(52/12),0)),1,0))*('Proje girdileri'!Y43*(1-'Proje girdileri'!AA43-'Proje girdileri'!AB43)-'Proje girdileri'!Z43))-'Proje girdileri'!AJ43)</x:f>
        <x:v>51.71</x:v>
      </x:c>
      <x:c r="G43" s="24" t="n">
        <x:f>IF(6&gt;'Ayarlar'!$B$6,0,IF(MAX(0,'Ayarlar'!$B$6-IF('Ayarlar'!$B$7&lt;=0,99,ROUNDUP(MAX('Proje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girdileri'!AD43/'Ayarlar'!$B$7,0))/(52/12),0)),6-1&lt;'Proje girdileri'!AH43),POWER(1-'Proje girdileri'!AT43,6-1),0)+IF(AND(2&gt;IF('Ayarlar'!$B$7&lt;=0,99,ROUNDUP(MAX('Proje girdileri'!AC43,ROUNDUP('Proje girdileri'!AD43/'Ayarlar'!$B$7,0))/(52/12),0)),6-2&lt;'Proje girdileri'!AH43),POWER(1-'Proje girdileri'!AT43,6-2),0)+IF(AND(3&gt;IF('Ayarlar'!$B$7&lt;=0,99,ROUNDUP(MAX('Proje girdileri'!AC43,ROUNDUP('Proje girdileri'!AD43/'Ayarlar'!$B$7,0))/(52/12),0)),6-3&lt;'Proje girdileri'!AH43),POWER(1-'Proje girdileri'!AT43,6-3),0)+IF(AND(4&gt;IF('Ayarlar'!$B$7&lt;=0,99,ROUNDUP(MAX('Proje girdileri'!AC43,ROUNDUP('Proje girdileri'!AD43/'Ayarlar'!$B$7,0))/(52/12),0)),6-4&lt;'Proje girdileri'!AH43),POWER(1-'Proje girdileri'!AT43,6-4),0)+IF(AND(5&gt;IF('Ayarlar'!$B$7&lt;=0,99,ROUNDUP(MAX('Proje girdileri'!AC43,ROUNDUP('Proje girdileri'!AD43/'Ayarlar'!$B$7,0))/(52/12),0)),6-5&lt;'Proje girdileri'!AH43),POWER(1-'Proje girdileri'!AT43,6-5),0)+IF(AND(6&gt;IF('Ayarlar'!$B$7&lt;=0,99,ROUNDUP(MAX('Proje girdileri'!AC43,ROUNDUP('Proje girdileri'!AD43/'Ayarlar'!$B$7,0))/(52/12),0)),6-6&lt;'Proje girdileri'!AH43),POWER(1-'Proje girdileri'!AT43,6-6),0)),IF(6&gt;IF('Ayarlar'!$B$7&lt;=0,99,ROUNDUP(MAX('Proje girdileri'!AC43,ROUNDUP('Proje girdileri'!AD43/'Ayarlar'!$B$7,0))/(52/12),0)),1,0))*('Proje girdileri'!Y43*(1-'Proje girdileri'!AA43-'Proje girdileri'!AB43)-'Proje girdileri'!Z43))-'Proje girdileri'!AJ43)</x:f>
        <x:v>51.71</x:v>
      </x:c>
      <x:c r="H43" s="24" t="n">
        <x:f>IF(7&gt;'Ayarlar'!$B$6,0,IF(MAX(0,'Ayarlar'!$B$6-IF('Ayarlar'!$B$7&lt;=0,99,ROUNDUP(MAX('Proje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girdileri'!AD43/'Ayarlar'!$B$7,0))/(52/12),0)),7-1&lt;'Proje girdileri'!AH43),POWER(1-'Proje girdileri'!AT43,7-1),0)+IF(AND(2&gt;IF('Ayarlar'!$B$7&lt;=0,99,ROUNDUP(MAX('Proje girdileri'!AC43,ROUNDUP('Proje girdileri'!AD43/'Ayarlar'!$B$7,0))/(52/12),0)),7-2&lt;'Proje girdileri'!AH43),POWER(1-'Proje girdileri'!AT43,7-2),0)+IF(AND(3&gt;IF('Ayarlar'!$B$7&lt;=0,99,ROUNDUP(MAX('Proje girdileri'!AC43,ROUNDUP('Proje girdileri'!AD43/'Ayarlar'!$B$7,0))/(52/12),0)),7-3&lt;'Proje girdileri'!AH43),POWER(1-'Proje girdileri'!AT43,7-3),0)+IF(AND(4&gt;IF('Ayarlar'!$B$7&lt;=0,99,ROUNDUP(MAX('Proje girdileri'!AC43,ROUNDUP('Proje girdileri'!AD43/'Ayarlar'!$B$7,0))/(52/12),0)),7-4&lt;'Proje girdileri'!AH43),POWER(1-'Proje girdileri'!AT43,7-4),0)+IF(AND(5&gt;IF('Ayarlar'!$B$7&lt;=0,99,ROUNDUP(MAX('Proje girdileri'!AC43,ROUNDUP('Proje girdileri'!AD43/'Ayarlar'!$B$7,0))/(52/12),0)),7-5&lt;'Proje girdileri'!AH43),POWER(1-'Proje girdileri'!AT43,7-5),0)+IF(AND(6&gt;IF('Ayarlar'!$B$7&lt;=0,99,ROUNDUP(MAX('Proje girdileri'!AC43,ROUNDUP('Proje girdileri'!AD43/'Ayarlar'!$B$7,0))/(52/12),0)),7-6&lt;'Proje girdileri'!AH43),POWER(1-'Proje girdileri'!AT43,7-6),0)+IF(AND(7&gt;IF('Ayarlar'!$B$7&lt;=0,99,ROUNDUP(MAX('Proje girdileri'!AC43,ROUNDUP('Proje girdileri'!AD43/'Ayarlar'!$B$7,0))/(52/12),0)),7-7&lt;'Proje girdileri'!AH43),POWER(1-'Proje girdileri'!AT43,7-7),0)),IF(7&gt;IF('Ayarlar'!$B$7&lt;=0,99,ROUNDUP(MAX('Proje girdileri'!AC43,ROUNDUP('Proje girdileri'!AD43/'Ayarlar'!$B$7,0))/(52/12),0)),1,0))*('Proje girdileri'!Y43*(1-'Proje girdileri'!AA43-'Proje girdileri'!AB43)-'Proje girdileri'!Z43))-'Proje girdileri'!AJ43)</x:f>
        <x:v>0</x:v>
      </x:c>
      <x:c r="I43" s="24" t="n">
        <x:f>IF(8&gt;'Ayarlar'!$B$6,0,IF(MAX(0,'Ayarlar'!$B$6-IF('Ayarlar'!$B$7&lt;=0,99,ROUNDUP(MAX('Proje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girdileri'!AD43/'Ayarlar'!$B$7,0))/(52/12),0)),8-1&lt;'Proje girdileri'!AH43),POWER(1-'Proje girdileri'!AT43,8-1),0)+IF(AND(2&gt;IF('Ayarlar'!$B$7&lt;=0,99,ROUNDUP(MAX('Proje girdileri'!AC43,ROUNDUP('Proje girdileri'!AD43/'Ayarlar'!$B$7,0))/(52/12),0)),8-2&lt;'Proje girdileri'!AH43),POWER(1-'Proje girdileri'!AT43,8-2),0)+IF(AND(3&gt;IF('Ayarlar'!$B$7&lt;=0,99,ROUNDUP(MAX('Proje girdileri'!AC43,ROUNDUP('Proje girdileri'!AD43/'Ayarlar'!$B$7,0))/(52/12),0)),8-3&lt;'Proje girdileri'!AH43),POWER(1-'Proje girdileri'!AT43,8-3),0)+IF(AND(4&gt;IF('Ayarlar'!$B$7&lt;=0,99,ROUNDUP(MAX('Proje girdileri'!AC43,ROUNDUP('Proje girdileri'!AD43/'Ayarlar'!$B$7,0))/(52/12),0)),8-4&lt;'Proje girdileri'!AH43),POWER(1-'Proje girdileri'!AT43,8-4),0)+IF(AND(5&gt;IF('Ayarlar'!$B$7&lt;=0,99,ROUNDUP(MAX('Proje girdileri'!AC43,ROUNDUP('Proje girdileri'!AD43/'Ayarlar'!$B$7,0))/(52/12),0)),8-5&lt;'Proje girdileri'!AH43),POWER(1-'Proje girdileri'!AT43,8-5),0)+IF(AND(6&gt;IF('Ayarlar'!$B$7&lt;=0,99,ROUNDUP(MAX('Proje girdileri'!AC43,ROUNDUP('Proje girdileri'!AD43/'Ayarlar'!$B$7,0))/(52/12),0)),8-6&lt;'Proje girdileri'!AH43),POWER(1-'Proje girdileri'!AT43,8-6),0)+IF(AND(7&gt;IF('Ayarlar'!$B$7&lt;=0,99,ROUNDUP(MAX('Proje girdileri'!AC43,ROUNDUP('Proje girdileri'!AD43/'Ayarlar'!$B$7,0))/(52/12),0)),8-7&lt;'Proje girdileri'!AH43),POWER(1-'Proje girdileri'!AT43,8-7),0)+IF(AND(8&gt;IF('Ayarlar'!$B$7&lt;=0,99,ROUNDUP(MAX('Proje girdileri'!AC43,ROUNDUP('Proje girdileri'!AD43/'Ayarlar'!$B$7,0))/(52/12),0)),8-8&lt;'Proje girdileri'!AH43),POWER(1-'Proje girdileri'!AT43,8-8),0)),IF(8&gt;IF('Ayarlar'!$B$7&lt;=0,99,ROUNDUP(MAX('Proje girdileri'!AC43,ROUNDUP('Proje girdileri'!AD43/'Ayarlar'!$B$7,0))/(52/12),0)),1,0))*('Proje girdileri'!Y43*(1-'Proje girdileri'!AA43-'Proje girdileri'!AB43)-'Proje girdileri'!Z43))-'Proje girdileri'!AJ43)</x:f>
        <x:v>0</x:v>
      </x:c>
      <x:c r="J43" s="24" t="n">
        <x:f>IF(9&gt;'Ayarlar'!$B$6,0,IF(MAX(0,'Ayarlar'!$B$6-IF('Ayarlar'!$B$7&lt;=0,99,ROUNDUP(MAX('Proje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girdileri'!AD43/'Ayarlar'!$B$7,0))/(52/12),0)),9-1&lt;'Proje girdileri'!AH43),POWER(1-'Proje girdileri'!AT43,9-1),0)+IF(AND(2&gt;IF('Ayarlar'!$B$7&lt;=0,99,ROUNDUP(MAX('Proje girdileri'!AC43,ROUNDUP('Proje girdileri'!AD43/'Ayarlar'!$B$7,0))/(52/12),0)),9-2&lt;'Proje girdileri'!AH43),POWER(1-'Proje girdileri'!AT43,9-2),0)+IF(AND(3&gt;IF('Ayarlar'!$B$7&lt;=0,99,ROUNDUP(MAX('Proje girdileri'!AC43,ROUNDUP('Proje girdileri'!AD43/'Ayarlar'!$B$7,0))/(52/12),0)),9-3&lt;'Proje girdileri'!AH43),POWER(1-'Proje girdileri'!AT43,9-3),0)+IF(AND(4&gt;IF('Ayarlar'!$B$7&lt;=0,99,ROUNDUP(MAX('Proje girdileri'!AC43,ROUNDUP('Proje girdileri'!AD43/'Ayarlar'!$B$7,0))/(52/12),0)),9-4&lt;'Proje girdileri'!AH43),POWER(1-'Proje girdileri'!AT43,9-4),0)+IF(AND(5&gt;IF('Ayarlar'!$B$7&lt;=0,99,ROUNDUP(MAX('Proje girdileri'!AC43,ROUNDUP('Proje girdileri'!AD43/'Ayarlar'!$B$7,0))/(52/12),0)),9-5&lt;'Proje girdileri'!AH43),POWER(1-'Proje girdileri'!AT43,9-5),0)+IF(AND(6&gt;IF('Ayarlar'!$B$7&lt;=0,99,ROUNDUP(MAX('Proje girdileri'!AC43,ROUNDUP('Proje girdileri'!AD43/'Ayarlar'!$B$7,0))/(52/12),0)),9-6&lt;'Proje girdileri'!AH43),POWER(1-'Proje girdileri'!AT43,9-6),0)+IF(AND(7&gt;IF('Ayarlar'!$B$7&lt;=0,99,ROUNDUP(MAX('Proje girdileri'!AC43,ROUNDUP('Proje girdileri'!AD43/'Ayarlar'!$B$7,0))/(52/12),0)),9-7&lt;'Proje girdileri'!AH43),POWER(1-'Proje girdileri'!AT43,9-7),0)+IF(AND(8&gt;IF('Ayarlar'!$B$7&lt;=0,99,ROUNDUP(MAX('Proje girdileri'!AC43,ROUNDUP('Proje girdileri'!AD43/'Ayarlar'!$B$7,0))/(52/12),0)),9-8&lt;'Proje girdileri'!AH43),POWER(1-'Proje girdileri'!AT43,9-8),0)+IF(AND(9&gt;IF('Ayarlar'!$B$7&lt;=0,99,ROUNDUP(MAX('Proje girdileri'!AC43,ROUNDUP('Proje girdileri'!AD43/'Ayarlar'!$B$7,0))/(52/12),0)),9-9&lt;'Proje girdileri'!AH43),POWER(1-'Proje girdileri'!AT43,9-9),0)),IF(9&gt;IF('Ayarlar'!$B$7&lt;=0,99,ROUNDUP(MAX('Proje girdileri'!AC43,ROUNDUP('Proje girdileri'!AD43/'Ayarlar'!$B$7,0))/(52/12),0)),1,0))*('Proje girdileri'!Y43*(1-'Proje girdileri'!AA43-'Proje girdileri'!AB43)-'Proje girdileri'!Z43))-'Proje girdileri'!AJ43)</x:f>
        <x:v>0</x:v>
      </x:c>
      <x:c r="K43" s="24" t="n">
        <x:f>IF(10&gt;'Ayarlar'!$B$6,0,IF(MAX(0,'Ayarlar'!$B$6-IF('Ayarlar'!$B$7&lt;=0,99,ROUNDUP(MAX('Proje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girdileri'!AD43/'Ayarlar'!$B$7,0))/(52/12),0)),10-1&lt;'Proje girdileri'!AH43),POWER(1-'Proje girdileri'!AT43,10-1),0)+IF(AND(2&gt;IF('Ayarlar'!$B$7&lt;=0,99,ROUNDUP(MAX('Proje girdileri'!AC43,ROUNDUP('Proje girdileri'!AD43/'Ayarlar'!$B$7,0))/(52/12),0)),10-2&lt;'Proje girdileri'!AH43),POWER(1-'Proje girdileri'!AT43,10-2),0)+IF(AND(3&gt;IF('Ayarlar'!$B$7&lt;=0,99,ROUNDUP(MAX('Proje girdileri'!AC43,ROUNDUP('Proje girdileri'!AD43/'Ayarlar'!$B$7,0))/(52/12),0)),10-3&lt;'Proje girdileri'!AH43),POWER(1-'Proje girdileri'!AT43,10-3),0)+IF(AND(4&gt;IF('Ayarlar'!$B$7&lt;=0,99,ROUNDUP(MAX('Proje girdileri'!AC43,ROUNDUP('Proje girdileri'!AD43/'Ayarlar'!$B$7,0))/(52/12),0)),10-4&lt;'Proje girdileri'!AH43),POWER(1-'Proje girdileri'!AT43,10-4),0)+IF(AND(5&gt;IF('Ayarlar'!$B$7&lt;=0,99,ROUNDUP(MAX('Proje girdileri'!AC43,ROUNDUP('Proje girdileri'!AD43/'Ayarlar'!$B$7,0))/(52/12),0)),10-5&lt;'Proje girdileri'!AH43),POWER(1-'Proje girdileri'!AT43,10-5),0)+IF(AND(6&gt;IF('Ayarlar'!$B$7&lt;=0,99,ROUNDUP(MAX('Proje girdileri'!AC43,ROUNDUP('Proje girdileri'!AD43/'Ayarlar'!$B$7,0))/(52/12),0)),10-6&lt;'Proje girdileri'!AH43),POWER(1-'Proje girdileri'!AT43,10-6),0)+IF(AND(7&gt;IF('Ayarlar'!$B$7&lt;=0,99,ROUNDUP(MAX('Proje girdileri'!AC43,ROUNDUP('Proje girdileri'!AD43/'Ayarlar'!$B$7,0))/(52/12),0)),10-7&lt;'Proje girdileri'!AH43),POWER(1-'Proje girdileri'!AT43,10-7),0)+IF(AND(8&gt;IF('Ayarlar'!$B$7&lt;=0,99,ROUNDUP(MAX('Proje girdileri'!AC43,ROUNDUP('Proje girdileri'!AD43/'Ayarlar'!$B$7,0))/(52/12),0)),10-8&lt;'Proje girdileri'!AH43),POWER(1-'Proje girdileri'!AT43,10-8),0)+IF(AND(9&gt;IF('Ayarlar'!$B$7&lt;=0,99,ROUNDUP(MAX('Proje girdileri'!AC43,ROUNDUP('Proje girdileri'!AD43/'Ayarlar'!$B$7,0))/(52/12),0)),10-9&lt;'Proje girdileri'!AH43),POWER(1-'Proje girdileri'!AT43,10-9),0)+IF(AND(10&gt;IF('Ayarlar'!$B$7&lt;=0,99,ROUNDUP(MAX('Proje girdileri'!AC43,ROUNDUP('Proje girdileri'!AD43/'Ayarlar'!$B$7,0))/(52/12),0)),10-10&lt;'Proje girdileri'!AH43),POWER(1-'Proje girdileri'!AT43,10-10),0)),IF(10&gt;IF('Ayarlar'!$B$7&lt;=0,99,ROUNDUP(MAX('Proje girdileri'!AC43,ROUNDUP('Proje girdileri'!AD43/'Ayarlar'!$B$7,0))/(52/12),0)),1,0))*('Proje girdileri'!Y43*(1-'Proje girdileri'!AA43-'Proje girdileri'!AB43)-'Proje girdileri'!Z43))-'Proje girdileri'!AJ43)</x:f>
        <x:v>0</x:v>
      </x:c>
      <x:c r="L43" s="24" t="n">
        <x:f>IF(11&gt;'Ayarlar'!$B$6,0,IF(MAX(0,'Ayarlar'!$B$6-IF('Ayarlar'!$B$7&lt;=0,99,ROUNDUP(MAX('Proje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girdileri'!AD43/'Ayarlar'!$B$7,0))/(52/12),0)),11-1&lt;'Proje girdileri'!AH43),POWER(1-'Proje girdileri'!AT43,11-1),0)+IF(AND(2&gt;IF('Ayarlar'!$B$7&lt;=0,99,ROUNDUP(MAX('Proje girdileri'!AC43,ROUNDUP('Proje girdileri'!AD43/'Ayarlar'!$B$7,0))/(52/12),0)),11-2&lt;'Proje girdileri'!AH43),POWER(1-'Proje girdileri'!AT43,11-2),0)+IF(AND(3&gt;IF('Ayarlar'!$B$7&lt;=0,99,ROUNDUP(MAX('Proje girdileri'!AC43,ROUNDUP('Proje girdileri'!AD43/'Ayarlar'!$B$7,0))/(52/12),0)),11-3&lt;'Proje girdileri'!AH43),POWER(1-'Proje girdileri'!AT43,11-3),0)+IF(AND(4&gt;IF('Ayarlar'!$B$7&lt;=0,99,ROUNDUP(MAX('Proje girdileri'!AC43,ROUNDUP('Proje girdileri'!AD43/'Ayarlar'!$B$7,0))/(52/12),0)),11-4&lt;'Proje girdileri'!AH43),POWER(1-'Proje girdileri'!AT43,11-4),0)+IF(AND(5&gt;IF('Ayarlar'!$B$7&lt;=0,99,ROUNDUP(MAX('Proje girdileri'!AC43,ROUNDUP('Proje girdileri'!AD43/'Ayarlar'!$B$7,0))/(52/12),0)),11-5&lt;'Proje girdileri'!AH43),POWER(1-'Proje girdileri'!AT43,11-5),0)+IF(AND(6&gt;IF('Ayarlar'!$B$7&lt;=0,99,ROUNDUP(MAX('Proje girdileri'!AC43,ROUNDUP('Proje girdileri'!AD43/'Ayarlar'!$B$7,0))/(52/12),0)),11-6&lt;'Proje girdileri'!AH43),POWER(1-'Proje girdileri'!AT43,11-6),0)+IF(AND(7&gt;IF('Ayarlar'!$B$7&lt;=0,99,ROUNDUP(MAX('Proje girdileri'!AC43,ROUNDUP('Proje girdileri'!AD43/'Ayarlar'!$B$7,0))/(52/12),0)),11-7&lt;'Proje girdileri'!AH43),POWER(1-'Proje girdileri'!AT43,11-7),0)+IF(AND(8&gt;IF('Ayarlar'!$B$7&lt;=0,99,ROUNDUP(MAX('Proje girdileri'!AC43,ROUNDUP('Proje girdileri'!AD43/'Ayarlar'!$B$7,0))/(52/12),0)),11-8&lt;'Proje girdileri'!AH43),POWER(1-'Proje girdileri'!AT43,11-8),0)+IF(AND(9&gt;IF('Ayarlar'!$B$7&lt;=0,99,ROUNDUP(MAX('Proje girdileri'!AC43,ROUNDUP('Proje girdileri'!AD43/'Ayarlar'!$B$7,0))/(52/12),0)),11-9&lt;'Proje girdileri'!AH43),POWER(1-'Proje girdileri'!AT43,11-9),0)+IF(AND(10&gt;IF('Ayarlar'!$B$7&lt;=0,99,ROUNDUP(MAX('Proje girdileri'!AC43,ROUNDUP('Proje girdileri'!AD43/'Ayarlar'!$B$7,0))/(52/12),0)),11-10&lt;'Proje girdileri'!AH43),POWER(1-'Proje girdileri'!AT43,11-10),0)+IF(AND(11&gt;IF('Ayarlar'!$B$7&lt;=0,99,ROUNDUP(MAX('Proje girdileri'!AC43,ROUNDUP('Proje girdileri'!AD43/'Ayarlar'!$B$7,0))/(52/12),0)),11-11&lt;'Proje girdileri'!AH43),POWER(1-'Proje girdileri'!AT43,11-11),0)),IF(11&gt;IF('Ayarlar'!$B$7&lt;=0,99,ROUNDUP(MAX('Proje girdileri'!AC43,ROUNDUP('Proje girdileri'!AD43/'Ayarlar'!$B$7,0))/(52/12),0)),1,0))*('Proje girdileri'!Y43*(1-'Proje girdileri'!AA43-'Proje girdileri'!AB43)-'Proje girdileri'!Z43))-'Proje girdileri'!AJ43)</x:f>
        <x:v>0</x:v>
      </x:c>
      <x:c r="M43" s="24" t="n">
        <x:f>IF(12&gt;'Ayarlar'!$B$6,0,IF(MAX(0,'Ayarlar'!$B$6-IF('Ayarlar'!$B$7&lt;=0,99,ROUNDUP(MAX('Proje girdileri'!AC43,ROUNDUP('Proje girdileri'!AD43/'Ayarlar'!$B$7,0))/(52/12),0)))=0,0,'Hesap'!I43/MAX(0,'Ayarlar'!$B$6-IF('Ayarlar'!$B$7&lt;=0,99,ROUNDUP(MAX('Proje girdileri'!AC43,ROUNDUP('Proje girdileri'!AD43/'Ayarlar'!$B$7,0))/(52/12),0)))*IF('Proje girdileri'!C43="recurring",(IF(AND(1&gt;IF('Ayarlar'!$B$7&lt;=0,99,ROUNDUP(MAX('Proje girdileri'!AC43,ROUNDUP('Proje girdileri'!AD43/'Ayarlar'!$B$7,0))/(52/12),0)),12-1&lt;'Proje girdileri'!AH43),POWER(1-'Proje girdileri'!AT43,12-1),0)+IF(AND(2&gt;IF('Ayarlar'!$B$7&lt;=0,99,ROUNDUP(MAX('Proje girdileri'!AC43,ROUNDUP('Proje girdileri'!AD43/'Ayarlar'!$B$7,0))/(52/12),0)),12-2&lt;'Proje girdileri'!AH43),POWER(1-'Proje girdileri'!AT43,12-2),0)+IF(AND(3&gt;IF('Ayarlar'!$B$7&lt;=0,99,ROUNDUP(MAX('Proje girdileri'!AC43,ROUNDUP('Proje girdileri'!AD43/'Ayarlar'!$B$7,0))/(52/12),0)),12-3&lt;'Proje girdileri'!AH43),POWER(1-'Proje girdileri'!AT43,12-3),0)+IF(AND(4&gt;IF('Ayarlar'!$B$7&lt;=0,99,ROUNDUP(MAX('Proje girdileri'!AC43,ROUNDUP('Proje girdileri'!AD43/'Ayarlar'!$B$7,0))/(52/12),0)),12-4&lt;'Proje girdileri'!AH43),POWER(1-'Proje girdileri'!AT43,12-4),0)+IF(AND(5&gt;IF('Ayarlar'!$B$7&lt;=0,99,ROUNDUP(MAX('Proje girdileri'!AC43,ROUNDUP('Proje girdileri'!AD43/'Ayarlar'!$B$7,0))/(52/12),0)),12-5&lt;'Proje girdileri'!AH43),POWER(1-'Proje girdileri'!AT43,12-5),0)+IF(AND(6&gt;IF('Ayarlar'!$B$7&lt;=0,99,ROUNDUP(MAX('Proje girdileri'!AC43,ROUNDUP('Proje girdileri'!AD43/'Ayarlar'!$B$7,0))/(52/12),0)),12-6&lt;'Proje girdileri'!AH43),POWER(1-'Proje girdileri'!AT43,12-6),0)+IF(AND(7&gt;IF('Ayarlar'!$B$7&lt;=0,99,ROUNDUP(MAX('Proje girdileri'!AC43,ROUNDUP('Proje girdileri'!AD43/'Ayarlar'!$B$7,0))/(52/12),0)),12-7&lt;'Proje girdileri'!AH43),POWER(1-'Proje girdileri'!AT43,12-7),0)+IF(AND(8&gt;IF('Ayarlar'!$B$7&lt;=0,99,ROUNDUP(MAX('Proje girdileri'!AC43,ROUNDUP('Proje girdileri'!AD43/'Ayarlar'!$B$7,0))/(52/12),0)),12-8&lt;'Proje girdileri'!AH43),POWER(1-'Proje girdileri'!AT43,12-8),0)+IF(AND(9&gt;IF('Ayarlar'!$B$7&lt;=0,99,ROUNDUP(MAX('Proje girdileri'!AC43,ROUNDUP('Proje girdileri'!AD43/'Ayarlar'!$B$7,0))/(52/12),0)),12-9&lt;'Proje girdileri'!AH43),POWER(1-'Proje girdileri'!AT43,12-9),0)+IF(AND(10&gt;IF('Ayarlar'!$B$7&lt;=0,99,ROUNDUP(MAX('Proje girdileri'!AC43,ROUNDUP('Proje girdileri'!AD43/'Ayarlar'!$B$7,0))/(52/12),0)),12-10&lt;'Proje girdileri'!AH43),POWER(1-'Proje girdileri'!AT43,12-10),0)+IF(AND(11&gt;IF('Ayarlar'!$B$7&lt;=0,99,ROUNDUP(MAX('Proje girdileri'!AC43,ROUNDUP('Proje girdileri'!AD43/'Ayarlar'!$B$7,0))/(52/12),0)),12-11&lt;'Proje girdileri'!AH43),POWER(1-'Proje girdileri'!AT43,12-11),0)+IF(AND(12&gt;IF('Ayarlar'!$B$7&lt;=0,99,ROUNDUP(MAX('Proje girdileri'!AC43,ROUNDUP('Proje girdileri'!AD43/'Ayarlar'!$B$7,0))/(52/12),0)),12-12&lt;'Proje girdileri'!AH43),POWER(1-'Proje girdileri'!AT43,12-12),0)),IF(12&gt;IF('Ayarlar'!$B$7&lt;=0,99,ROUNDUP(MAX('Proje girdileri'!AC43,ROUNDUP('Proje girdileri'!AD43/'Ayarlar'!$B$7,0))/(52/12),0)),1,0))*('Proje girdileri'!Y43*(1-'Proje girdileri'!AA43-'Proje girdileri'!AB43)-'Proje girdileri'!Z43))-'Proje girdileri'!AJ43)</x:f>
        <x:v>0</x:v>
      </x:c>
      <x:c r="N43" s="24" t="n">
        <x:f>SUM(B43:M43)</x:f>
        <x:v>86.84</x:v>
      </x:c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</x:row>
    <x:row r="44" ht="24" customHeight="1">
      <x:c r="A44" s="2" t="str">
        <x:f>'Hesap'!B44</x:f>
        <x:v>Titanlar uygulama kohortu</x:v>
      </x:c>
      <x:c r="B44" s="24" t="n">
        <x:f>IF(1&gt;'Ayarlar'!$B$6,0,IF(MAX(0,'Ayarlar'!$B$6-IF('Ayarlar'!$B$7&lt;=0,99,ROUNDUP(MAX('Proje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girdileri'!AD44/'Ayarlar'!$B$7,0))/(52/12),0)),1-1&lt;'Proje girdileri'!AH44),POWER(1-'Proje girdileri'!AT44,1-1),0)),IF(1&gt;IF('Ayarlar'!$B$7&lt;=0,99,ROUNDUP(MAX('Proje girdileri'!AC44,ROUNDUP('Proje girdileri'!AD44/'Ayarlar'!$B$7,0))/(52/12),0)),1,0))*('Proje girdileri'!Y44*(1-'Proje girdileri'!AA44-'Proje girdileri'!AB44)-'Proje girdileri'!Z44))-'Proje girdileri'!AJ44-'Proje girdileri'!AI44)</x:f>
        <x:v>-165</x:v>
      </x:c>
      <x:c r="C44" s="24" t="n">
        <x:f>IF(2&gt;'Ayarlar'!$B$6,0,IF(MAX(0,'Ayarlar'!$B$6-IF('Ayarlar'!$B$7&lt;=0,99,ROUNDUP(MAX('Proje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girdileri'!AD44/'Ayarlar'!$B$7,0))/(52/12),0)),2-1&lt;'Proje girdileri'!AH44),POWER(1-'Proje girdileri'!AT44,2-1),0)+IF(AND(2&gt;IF('Ayarlar'!$B$7&lt;=0,99,ROUNDUP(MAX('Proje girdileri'!AC44,ROUNDUP('Proje girdileri'!AD44/'Ayarlar'!$B$7,0))/(52/12),0)),2-2&lt;'Proje girdileri'!AH44),POWER(1-'Proje girdileri'!AT44,2-2),0)),IF(2&gt;IF('Ayarlar'!$B$7&lt;=0,99,ROUNDUP(MAX('Proje girdileri'!AC44,ROUNDUP('Proje girdileri'!AD44/'Ayarlar'!$B$7,0))/(52/12),0)),1,0))*('Proje girdileri'!Y44*(1-'Proje girdileri'!AA44-'Proje girdileri'!AB44)-'Proje girdileri'!Z44))-'Proje girdileri'!AJ44)</x:f>
        <x:v>-15</x:v>
      </x:c>
      <x:c r="D44" s="24" t="n">
        <x:f>IF(3&gt;'Ayarlar'!$B$6,0,IF(MAX(0,'Ayarlar'!$B$6-IF('Ayarlar'!$B$7&lt;=0,99,ROUNDUP(MAX('Proje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girdileri'!AD44/'Ayarlar'!$B$7,0))/(52/12),0)),3-1&lt;'Proje girdileri'!AH44),POWER(1-'Proje girdileri'!AT44,3-1),0)+IF(AND(2&gt;IF('Ayarlar'!$B$7&lt;=0,99,ROUNDUP(MAX('Proje girdileri'!AC44,ROUNDUP('Proje girdileri'!AD44/'Ayarlar'!$B$7,0))/(52/12),0)),3-2&lt;'Proje girdileri'!AH44),POWER(1-'Proje girdileri'!AT44,3-2),0)+IF(AND(3&gt;IF('Ayarlar'!$B$7&lt;=0,99,ROUNDUP(MAX('Proje girdileri'!AC44,ROUNDUP('Proje girdileri'!AD44/'Ayarlar'!$B$7,0))/(52/12),0)),3-3&lt;'Proje girdileri'!AH44),POWER(1-'Proje girdileri'!AT44,3-3),0)),IF(3&gt;IF('Ayarlar'!$B$7&lt;=0,99,ROUNDUP(MAX('Proje girdileri'!AC44,ROUNDUP('Proje girdileri'!AD44/'Ayarlar'!$B$7,0))/(52/12),0)),1,0))*('Proje girdileri'!Y44*(1-'Proje girdileri'!AA44-'Proje girdileri'!AB44)-'Proje girdileri'!Z44))-'Proje girdileri'!AJ44)</x:f>
        <x:v>255</x:v>
      </x:c>
      <x:c r="E44" s="24" t="n">
        <x:f>IF(4&gt;'Ayarlar'!$B$6,0,IF(MAX(0,'Ayarlar'!$B$6-IF('Ayarlar'!$B$7&lt;=0,99,ROUNDUP(MAX('Proje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girdileri'!AD44/'Ayarlar'!$B$7,0))/(52/12),0)),4-1&lt;'Proje girdileri'!AH44),POWER(1-'Proje girdileri'!AT44,4-1),0)+IF(AND(2&gt;IF('Ayarlar'!$B$7&lt;=0,99,ROUNDUP(MAX('Proje girdileri'!AC44,ROUNDUP('Proje girdileri'!AD44/'Ayarlar'!$B$7,0))/(52/12),0)),4-2&lt;'Proje girdileri'!AH44),POWER(1-'Proje girdileri'!AT44,4-2),0)+IF(AND(3&gt;IF('Ayarlar'!$B$7&lt;=0,99,ROUNDUP(MAX('Proje girdileri'!AC44,ROUNDUP('Proje girdileri'!AD44/'Ayarlar'!$B$7,0))/(52/12),0)),4-3&lt;'Proje girdileri'!AH44),POWER(1-'Proje girdileri'!AT44,4-3),0)+IF(AND(4&gt;IF('Ayarlar'!$B$7&lt;=0,99,ROUNDUP(MAX('Proje girdileri'!AC44,ROUNDUP('Proje girdileri'!AD44/'Ayarlar'!$B$7,0))/(52/12),0)),4-4&lt;'Proje girdileri'!AH44),POWER(1-'Proje girdileri'!AT44,4-4),0)),IF(4&gt;IF('Ayarlar'!$B$7&lt;=0,99,ROUNDUP(MAX('Proje girdileri'!AC44,ROUNDUP('Proje girdileri'!AD44/'Ayarlar'!$B$7,0))/(52/12),0)),1,0))*('Proje girdileri'!Y44*(1-'Proje girdileri'!AA44-'Proje girdileri'!AB44)-'Proje girdileri'!Z44))-'Proje girdileri'!AJ44)</x:f>
        <x:v>255</x:v>
      </x:c>
      <x:c r="F44" s="24" t="n">
        <x:f>IF(5&gt;'Ayarlar'!$B$6,0,IF(MAX(0,'Ayarlar'!$B$6-IF('Ayarlar'!$B$7&lt;=0,99,ROUNDUP(MAX('Proje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girdileri'!AD44/'Ayarlar'!$B$7,0))/(52/12),0)),5-1&lt;'Proje girdileri'!AH44),POWER(1-'Proje girdileri'!AT44,5-1),0)+IF(AND(2&gt;IF('Ayarlar'!$B$7&lt;=0,99,ROUNDUP(MAX('Proje girdileri'!AC44,ROUNDUP('Proje girdileri'!AD44/'Ayarlar'!$B$7,0))/(52/12),0)),5-2&lt;'Proje girdileri'!AH44),POWER(1-'Proje girdileri'!AT44,5-2),0)+IF(AND(3&gt;IF('Ayarlar'!$B$7&lt;=0,99,ROUNDUP(MAX('Proje girdileri'!AC44,ROUNDUP('Proje girdileri'!AD44/'Ayarlar'!$B$7,0))/(52/12),0)),5-3&lt;'Proje girdileri'!AH44),POWER(1-'Proje girdileri'!AT44,5-3),0)+IF(AND(4&gt;IF('Ayarlar'!$B$7&lt;=0,99,ROUNDUP(MAX('Proje girdileri'!AC44,ROUNDUP('Proje girdileri'!AD44/'Ayarlar'!$B$7,0))/(52/12),0)),5-4&lt;'Proje girdileri'!AH44),POWER(1-'Proje girdileri'!AT44,5-4),0)+IF(AND(5&gt;IF('Ayarlar'!$B$7&lt;=0,99,ROUNDUP(MAX('Proje girdileri'!AC44,ROUNDUP('Proje girdileri'!AD44/'Ayarlar'!$B$7,0))/(52/12),0)),5-5&lt;'Proje girdileri'!AH44),POWER(1-'Proje girdileri'!AT44,5-5),0)),IF(5&gt;IF('Ayarlar'!$B$7&lt;=0,99,ROUNDUP(MAX('Proje girdileri'!AC44,ROUNDUP('Proje girdileri'!AD44/'Ayarlar'!$B$7,0))/(52/12),0)),1,0))*('Proje girdileri'!Y44*(1-'Proje girdileri'!AA44-'Proje girdileri'!AB44)-'Proje girdileri'!Z44))-'Proje girdileri'!AJ44)</x:f>
        <x:v>255</x:v>
      </x:c>
      <x:c r="G44" s="24" t="n">
        <x:f>IF(6&gt;'Ayarlar'!$B$6,0,IF(MAX(0,'Ayarlar'!$B$6-IF('Ayarlar'!$B$7&lt;=0,99,ROUNDUP(MAX('Proje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girdileri'!AD44/'Ayarlar'!$B$7,0))/(52/12),0)),6-1&lt;'Proje girdileri'!AH44),POWER(1-'Proje girdileri'!AT44,6-1),0)+IF(AND(2&gt;IF('Ayarlar'!$B$7&lt;=0,99,ROUNDUP(MAX('Proje girdileri'!AC44,ROUNDUP('Proje girdileri'!AD44/'Ayarlar'!$B$7,0))/(52/12),0)),6-2&lt;'Proje girdileri'!AH44),POWER(1-'Proje girdileri'!AT44,6-2),0)+IF(AND(3&gt;IF('Ayarlar'!$B$7&lt;=0,99,ROUNDUP(MAX('Proje girdileri'!AC44,ROUNDUP('Proje girdileri'!AD44/'Ayarlar'!$B$7,0))/(52/12),0)),6-3&lt;'Proje girdileri'!AH44),POWER(1-'Proje girdileri'!AT44,6-3),0)+IF(AND(4&gt;IF('Ayarlar'!$B$7&lt;=0,99,ROUNDUP(MAX('Proje girdileri'!AC44,ROUNDUP('Proje girdileri'!AD44/'Ayarlar'!$B$7,0))/(52/12),0)),6-4&lt;'Proje girdileri'!AH44),POWER(1-'Proje girdileri'!AT44,6-4),0)+IF(AND(5&gt;IF('Ayarlar'!$B$7&lt;=0,99,ROUNDUP(MAX('Proje girdileri'!AC44,ROUNDUP('Proje girdileri'!AD44/'Ayarlar'!$B$7,0))/(52/12),0)),6-5&lt;'Proje girdileri'!AH44),POWER(1-'Proje girdileri'!AT44,6-5),0)+IF(AND(6&gt;IF('Ayarlar'!$B$7&lt;=0,99,ROUNDUP(MAX('Proje girdileri'!AC44,ROUNDUP('Proje girdileri'!AD44/'Ayarlar'!$B$7,0))/(52/12),0)),6-6&lt;'Proje girdileri'!AH44),POWER(1-'Proje girdileri'!AT44,6-6),0)),IF(6&gt;IF('Ayarlar'!$B$7&lt;=0,99,ROUNDUP(MAX('Proje girdileri'!AC44,ROUNDUP('Proje girdileri'!AD44/'Ayarlar'!$B$7,0))/(52/12),0)),1,0))*('Proje girdileri'!Y44*(1-'Proje girdileri'!AA44-'Proje girdileri'!AB44)-'Proje girdileri'!Z44))-'Proje girdileri'!AJ44)</x:f>
        <x:v>255</x:v>
      </x:c>
      <x:c r="H44" s="24" t="n">
        <x:f>IF(7&gt;'Ayarlar'!$B$6,0,IF(MAX(0,'Ayarlar'!$B$6-IF('Ayarlar'!$B$7&lt;=0,99,ROUNDUP(MAX('Proje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girdileri'!AD44/'Ayarlar'!$B$7,0))/(52/12),0)),7-1&lt;'Proje girdileri'!AH44),POWER(1-'Proje girdileri'!AT44,7-1),0)+IF(AND(2&gt;IF('Ayarlar'!$B$7&lt;=0,99,ROUNDUP(MAX('Proje girdileri'!AC44,ROUNDUP('Proje girdileri'!AD44/'Ayarlar'!$B$7,0))/(52/12),0)),7-2&lt;'Proje girdileri'!AH44),POWER(1-'Proje girdileri'!AT44,7-2),0)+IF(AND(3&gt;IF('Ayarlar'!$B$7&lt;=0,99,ROUNDUP(MAX('Proje girdileri'!AC44,ROUNDUP('Proje girdileri'!AD44/'Ayarlar'!$B$7,0))/(52/12),0)),7-3&lt;'Proje girdileri'!AH44),POWER(1-'Proje girdileri'!AT44,7-3),0)+IF(AND(4&gt;IF('Ayarlar'!$B$7&lt;=0,99,ROUNDUP(MAX('Proje girdileri'!AC44,ROUNDUP('Proje girdileri'!AD44/'Ayarlar'!$B$7,0))/(52/12),0)),7-4&lt;'Proje girdileri'!AH44),POWER(1-'Proje girdileri'!AT44,7-4),0)+IF(AND(5&gt;IF('Ayarlar'!$B$7&lt;=0,99,ROUNDUP(MAX('Proje girdileri'!AC44,ROUNDUP('Proje girdileri'!AD44/'Ayarlar'!$B$7,0))/(52/12),0)),7-5&lt;'Proje girdileri'!AH44),POWER(1-'Proje girdileri'!AT44,7-5),0)+IF(AND(6&gt;IF('Ayarlar'!$B$7&lt;=0,99,ROUNDUP(MAX('Proje girdileri'!AC44,ROUNDUP('Proje girdileri'!AD44/'Ayarlar'!$B$7,0))/(52/12),0)),7-6&lt;'Proje girdileri'!AH44),POWER(1-'Proje girdileri'!AT44,7-6),0)+IF(AND(7&gt;IF('Ayarlar'!$B$7&lt;=0,99,ROUNDUP(MAX('Proje girdileri'!AC44,ROUNDUP('Proje girdileri'!AD44/'Ayarlar'!$B$7,0))/(52/12),0)),7-7&lt;'Proje girdileri'!AH44),POWER(1-'Proje girdileri'!AT44,7-7),0)),IF(7&gt;IF('Ayarlar'!$B$7&lt;=0,99,ROUNDUP(MAX('Proje girdileri'!AC44,ROUNDUP('Proje girdileri'!AD44/'Ayarlar'!$B$7,0))/(52/12),0)),1,0))*('Proje girdileri'!Y44*(1-'Proje girdileri'!AA44-'Proje girdileri'!AB44)-'Proje girdileri'!Z44))-'Proje girdileri'!AJ44)</x:f>
        <x:v>0</x:v>
      </x:c>
      <x:c r="I44" s="24" t="n">
        <x:f>IF(8&gt;'Ayarlar'!$B$6,0,IF(MAX(0,'Ayarlar'!$B$6-IF('Ayarlar'!$B$7&lt;=0,99,ROUNDUP(MAX('Proje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girdileri'!AD44/'Ayarlar'!$B$7,0))/(52/12),0)),8-1&lt;'Proje girdileri'!AH44),POWER(1-'Proje girdileri'!AT44,8-1),0)+IF(AND(2&gt;IF('Ayarlar'!$B$7&lt;=0,99,ROUNDUP(MAX('Proje girdileri'!AC44,ROUNDUP('Proje girdileri'!AD44/'Ayarlar'!$B$7,0))/(52/12),0)),8-2&lt;'Proje girdileri'!AH44),POWER(1-'Proje girdileri'!AT44,8-2),0)+IF(AND(3&gt;IF('Ayarlar'!$B$7&lt;=0,99,ROUNDUP(MAX('Proje girdileri'!AC44,ROUNDUP('Proje girdileri'!AD44/'Ayarlar'!$B$7,0))/(52/12),0)),8-3&lt;'Proje girdileri'!AH44),POWER(1-'Proje girdileri'!AT44,8-3),0)+IF(AND(4&gt;IF('Ayarlar'!$B$7&lt;=0,99,ROUNDUP(MAX('Proje girdileri'!AC44,ROUNDUP('Proje girdileri'!AD44/'Ayarlar'!$B$7,0))/(52/12),0)),8-4&lt;'Proje girdileri'!AH44),POWER(1-'Proje girdileri'!AT44,8-4),0)+IF(AND(5&gt;IF('Ayarlar'!$B$7&lt;=0,99,ROUNDUP(MAX('Proje girdileri'!AC44,ROUNDUP('Proje girdileri'!AD44/'Ayarlar'!$B$7,0))/(52/12),0)),8-5&lt;'Proje girdileri'!AH44),POWER(1-'Proje girdileri'!AT44,8-5),0)+IF(AND(6&gt;IF('Ayarlar'!$B$7&lt;=0,99,ROUNDUP(MAX('Proje girdileri'!AC44,ROUNDUP('Proje girdileri'!AD44/'Ayarlar'!$B$7,0))/(52/12),0)),8-6&lt;'Proje girdileri'!AH44),POWER(1-'Proje girdileri'!AT44,8-6),0)+IF(AND(7&gt;IF('Ayarlar'!$B$7&lt;=0,99,ROUNDUP(MAX('Proje girdileri'!AC44,ROUNDUP('Proje girdileri'!AD44/'Ayarlar'!$B$7,0))/(52/12),0)),8-7&lt;'Proje girdileri'!AH44),POWER(1-'Proje girdileri'!AT44,8-7),0)+IF(AND(8&gt;IF('Ayarlar'!$B$7&lt;=0,99,ROUNDUP(MAX('Proje girdileri'!AC44,ROUNDUP('Proje girdileri'!AD44/'Ayarlar'!$B$7,0))/(52/12),0)),8-8&lt;'Proje girdileri'!AH44),POWER(1-'Proje girdileri'!AT44,8-8),0)),IF(8&gt;IF('Ayarlar'!$B$7&lt;=0,99,ROUNDUP(MAX('Proje girdileri'!AC44,ROUNDUP('Proje girdileri'!AD44/'Ayarlar'!$B$7,0))/(52/12),0)),1,0))*('Proje girdileri'!Y44*(1-'Proje girdileri'!AA44-'Proje girdileri'!AB44)-'Proje girdileri'!Z44))-'Proje girdileri'!AJ44)</x:f>
        <x:v>0</x:v>
      </x:c>
      <x:c r="J44" s="24" t="n">
        <x:f>IF(9&gt;'Ayarlar'!$B$6,0,IF(MAX(0,'Ayarlar'!$B$6-IF('Ayarlar'!$B$7&lt;=0,99,ROUNDUP(MAX('Proje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girdileri'!AD44/'Ayarlar'!$B$7,0))/(52/12),0)),9-1&lt;'Proje girdileri'!AH44),POWER(1-'Proje girdileri'!AT44,9-1),0)+IF(AND(2&gt;IF('Ayarlar'!$B$7&lt;=0,99,ROUNDUP(MAX('Proje girdileri'!AC44,ROUNDUP('Proje girdileri'!AD44/'Ayarlar'!$B$7,0))/(52/12),0)),9-2&lt;'Proje girdileri'!AH44),POWER(1-'Proje girdileri'!AT44,9-2),0)+IF(AND(3&gt;IF('Ayarlar'!$B$7&lt;=0,99,ROUNDUP(MAX('Proje girdileri'!AC44,ROUNDUP('Proje girdileri'!AD44/'Ayarlar'!$B$7,0))/(52/12),0)),9-3&lt;'Proje girdileri'!AH44),POWER(1-'Proje girdileri'!AT44,9-3),0)+IF(AND(4&gt;IF('Ayarlar'!$B$7&lt;=0,99,ROUNDUP(MAX('Proje girdileri'!AC44,ROUNDUP('Proje girdileri'!AD44/'Ayarlar'!$B$7,0))/(52/12),0)),9-4&lt;'Proje girdileri'!AH44),POWER(1-'Proje girdileri'!AT44,9-4),0)+IF(AND(5&gt;IF('Ayarlar'!$B$7&lt;=0,99,ROUNDUP(MAX('Proje girdileri'!AC44,ROUNDUP('Proje girdileri'!AD44/'Ayarlar'!$B$7,0))/(52/12),0)),9-5&lt;'Proje girdileri'!AH44),POWER(1-'Proje girdileri'!AT44,9-5),0)+IF(AND(6&gt;IF('Ayarlar'!$B$7&lt;=0,99,ROUNDUP(MAX('Proje girdileri'!AC44,ROUNDUP('Proje girdileri'!AD44/'Ayarlar'!$B$7,0))/(52/12),0)),9-6&lt;'Proje girdileri'!AH44),POWER(1-'Proje girdileri'!AT44,9-6),0)+IF(AND(7&gt;IF('Ayarlar'!$B$7&lt;=0,99,ROUNDUP(MAX('Proje girdileri'!AC44,ROUNDUP('Proje girdileri'!AD44/'Ayarlar'!$B$7,0))/(52/12),0)),9-7&lt;'Proje girdileri'!AH44),POWER(1-'Proje girdileri'!AT44,9-7),0)+IF(AND(8&gt;IF('Ayarlar'!$B$7&lt;=0,99,ROUNDUP(MAX('Proje girdileri'!AC44,ROUNDUP('Proje girdileri'!AD44/'Ayarlar'!$B$7,0))/(52/12),0)),9-8&lt;'Proje girdileri'!AH44),POWER(1-'Proje girdileri'!AT44,9-8),0)+IF(AND(9&gt;IF('Ayarlar'!$B$7&lt;=0,99,ROUNDUP(MAX('Proje girdileri'!AC44,ROUNDUP('Proje girdileri'!AD44/'Ayarlar'!$B$7,0))/(52/12),0)),9-9&lt;'Proje girdileri'!AH44),POWER(1-'Proje girdileri'!AT44,9-9),0)),IF(9&gt;IF('Ayarlar'!$B$7&lt;=0,99,ROUNDUP(MAX('Proje girdileri'!AC44,ROUNDUP('Proje girdileri'!AD44/'Ayarlar'!$B$7,0))/(52/12),0)),1,0))*('Proje girdileri'!Y44*(1-'Proje girdileri'!AA44-'Proje girdileri'!AB44)-'Proje girdileri'!Z44))-'Proje girdileri'!AJ44)</x:f>
        <x:v>0</x:v>
      </x:c>
      <x:c r="K44" s="24" t="n">
        <x:f>IF(10&gt;'Ayarlar'!$B$6,0,IF(MAX(0,'Ayarlar'!$B$6-IF('Ayarlar'!$B$7&lt;=0,99,ROUNDUP(MAX('Proje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girdileri'!AD44/'Ayarlar'!$B$7,0))/(52/12),0)),10-1&lt;'Proje girdileri'!AH44),POWER(1-'Proje girdileri'!AT44,10-1),0)+IF(AND(2&gt;IF('Ayarlar'!$B$7&lt;=0,99,ROUNDUP(MAX('Proje girdileri'!AC44,ROUNDUP('Proje girdileri'!AD44/'Ayarlar'!$B$7,0))/(52/12),0)),10-2&lt;'Proje girdileri'!AH44),POWER(1-'Proje girdileri'!AT44,10-2),0)+IF(AND(3&gt;IF('Ayarlar'!$B$7&lt;=0,99,ROUNDUP(MAX('Proje girdileri'!AC44,ROUNDUP('Proje girdileri'!AD44/'Ayarlar'!$B$7,0))/(52/12),0)),10-3&lt;'Proje girdileri'!AH44),POWER(1-'Proje girdileri'!AT44,10-3),0)+IF(AND(4&gt;IF('Ayarlar'!$B$7&lt;=0,99,ROUNDUP(MAX('Proje girdileri'!AC44,ROUNDUP('Proje girdileri'!AD44/'Ayarlar'!$B$7,0))/(52/12),0)),10-4&lt;'Proje girdileri'!AH44),POWER(1-'Proje girdileri'!AT44,10-4),0)+IF(AND(5&gt;IF('Ayarlar'!$B$7&lt;=0,99,ROUNDUP(MAX('Proje girdileri'!AC44,ROUNDUP('Proje girdileri'!AD44/'Ayarlar'!$B$7,0))/(52/12),0)),10-5&lt;'Proje girdileri'!AH44),POWER(1-'Proje girdileri'!AT44,10-5),0)+IF(AND(6&gt;IF('Ayarlar'!$B$7&lt;=0,99,ROUNDUP(MAX('Proje girdileri'!AC44,ROUNDUP('Proje girdileri'!AD44/'Ayarlar'!$B$7,0))/(52/12),0)),10-6&lt;'Proje girdileri'!AH44),POWER(1-'Proje girdileri'!AT44,10-6),0)+IF(AND(7&gt;IF('Ayarlar'!$B$7&lt;=0,99,ROUNDUP(MAX('Proje girdileri'!AC44,ROUNDUP('Proje girdileri'!AD44/'Ayarlar'!$B$7,0))/(52/12),0)),10-7&lt;'Proje girdileri'!AH44),POWER(1-'Proje girdileri'!AT44,10-7),0)+IF(AND(8&gt;IF('Ayarlar'!$B$7&lt;=0,99,ROUNDUP(MAX('Proje girdileri'!AC44,ROUNDUP('Proje girdileri'!AD44/'Ayarlar'!$B$7,0))/(52/12),0)),10-8&lt;'Proje girdileri'!AH44),POWER(1-'Proje girdileri'!AT44,10-8),0)+IF(AND(9&gt;IF('Ayarlar'!$B$7&lt;=0,99,ROUNDUP(MAX('Proje girdileri'!AC44,ROUNDUP('Proje girdileri'!AD44/'Ayarlar'!$B$7,0))/(52/12),0)),10-9&lt;'Proje girdileri'!AH44),POWER(1-'Proje girdileri'!AT44,10-9),0)+IF(AND(10&gt;IF('Ayarlar'!$B$7&lt;=0,99,ROUNDUP(MAX('Proje girdileri'!AC44,ROUNDUP('Proje girdileri'!AD44/'Ayarlar'!$B$7,0))/(52/12),0)),10-10&lt;'Proje girdileri'!AH44),POWER(1-'Proje girdileri'!AT44,10-10),0)),IF(10&gt;IF('Ayarlar'!$B$7&lt;=0,99,ROUNDUP(MAX('Proje girdileri'!AC44,ROUNDUP('Proje girdileri'!AD44/'Ayarlar'!$B$7,0))/(52/12),0)),1,0))*('Proje girdileri'!Y44*(1-'Proje girdileri'!AA44-'Proje girdileri'!AB44)-'Proje girdileri'!Z44))-'Proje girdileri'!AJ44)</x:f>
        <x:v>0</x:v>
      </x:c>
      <x:c r="L44" s="24" t="n">
        <x:f>IF(11&gt;'Ayarlar'!$B$6,0,IF(MAX(0,'Ayarlar'!$B$6-IF('Ayarlar'!$B$7&lt;=0,99,ROUNDUP(MAX('Proje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girdileri'!AD44/'Ayarlar'!$B$7,0))/(52/12),0)),11-1&lt;'Proje girdileri'!AH44),POWER(1-'Proje girdileri'!AT44,11-1),0)+IF(AND(2&gt;IF('Ayarlar'!$B$7&lt;=0,99,ROUNDUP(MAX('Proje girdileri'!AC44,ROUNDUP('Proje girdileri'!AD44/'Ayarlar'!$B$7,0))/(52/12),0)),11-2&lt;'Proje girdileri'!AH44),POWER(1-'Proje girdileri'!AT44,11-2),0)+IF(AND(3&gt;IF('Ayarlar'!$B$7&lt;=0,99,ROUNDUP(MAX('Proje girdileri'!AC44,ROUNDUP('Proje girdileri'!AD44/'Ayarlar'!$B$7,0))/(52/12),0)),11-3&lt;'Proje girdileri'!AH44),POWER(1-'Proje girdileri'!AT44,11-3),0)+IF(AND(4&gt;IF('Ayarlar'!$B$7&lt;=0,99,ROUNDUP(MAX('Proje girdileri'!AC44,ROUNDUP('Proje girdileri'!AD44/'Ayarlar'!$B$7,0))/(52/12),0)),11-4&lt;'Proje girdileri'!AH44),POWER(1-'Proje girdileri'!AT44,11-4),0)+IF(AND(5&gt;IF('Ayarlar'!$B$7&lt;=0,99,ROUNDUP(MAX('Proje girdileri'!AC44,ROUNDUP('Proje girdileri'!AD44/'Ayarlar'!$B$7,0))/(52/12),0)),11-5&lt;'Proje girdileri'!AH44),POWER(1-'Proje girdileri'!AT44,11-5),0)+IF(AND(6&gt;IF('Ayarlar'!$B$7&lt;=0,99,ROUNDUP(MAX('Proje girdileri'!AC44,ROUNDUP('Proje girdileri'!AD44/'Ayarlar'!$B$7,0))/(52/12),0)),11-6&lt;'Proje girdileri'!AH44),POWER(1-'Proje girdileri'!AT44,11-6),0)+IF(AND(7&gt;IF('Ayarlar'!$B$7&lt;=0,99,ROUNDUP(MAX('Proje girdileri'!AC44,ROUNDUP('Proje girdileri'!AD44/'Ayarlar'!$B$7,0))/(52/12),0)),11-7&lt;'Proje girdileri'!AH44),POWER(1-'Proje girdileri'!AT44,11-7),0)+IF(AND(8&gt;IF('Ayarlar'!$B$7&lt;=0,99,ROUNDUP(MAX('Proje girdileri'!AC44,ROUNDUP('Proje girdileri'!AD44/'Ayarlar'!$B$7,0))/(52/12),0)),11-8&lt;'Proje girdileri'!AH44),POWER(1-'Proje girdileri'!AT44,11-8),0)+IF(AND(9&gt;IF('Ayarlar'!$B$7&lt;=0,99,ROUNDUP(MAX('Proje girdileri'!AC44,ROUNDUP('Proje girdileri'!AD44/'Ayarlar'!$B$7,0))/(52/12),0)),11-9&lt;'Proje girdileri'!AH44),POWER(1-'Proje girdileri'!AT44,11-9),0)+IF(AND(10&gt;IF('Ayarlar'!$B$7&lt;=0,99,ROUNDUP(MAX('Proje girdileri'!AC44,ROUNDUP('Proje girdileri'!AD44/'Ayarlar'!$B$7,0))/(52/12),0)),11-10&lt;'Proje girdileri'!AH44),POWER(1-'Proje girdileri'!AT44,11-10),0)+IF(AND(11&gt;IF('Ayarlar'!$B$7&lt;=0,99,ROUNDUP(MAX('Proje girdileri'!AC44,ROUNDUP('Proje girdileri'!AD44/'Ayarlar'!$B$7,0))/(52/12),0)),11-11&lt;'Proje girdileri'!AH44),POWER(1-'Proje girdileri'!AT44,11-11),0)),IF(11&gt;IF('Ayarlar'!$B$7&lt;=0,99,ROUNDUP(MAX('Proje girdileri'!AC44,ROUNDUP('Proje girdileri'!AD44/'Ayarlar'!$B$7,0))/(52/12),0)),1,0))*('Proje girdileri'!Y44*(1-'Proje girdileri'!AA44-'Proje girdileri'!AB44)-'Proje girdileri'!Z44))-'Proje girdileri'!AJ44)</x:f>
        <x:v>0</x:v>
      </x:c>
      <x:c r="M44" s="24" t="n">
        <x:f>IF(12&gt;'Ayarlar'!$B$6,0,IF(MAX(0,'Ayarlar'!$B$6-IF('Ayarlar'!$B$7&lt;=0,99,ROUNDUP(MAX('Proje girdileri'!AC44,ROUNDUP('Proje girdileri'!AD44/'Ayarlar'!$B$7,0))/(52/12),0)))=0,0,'Hesap'!I44/MAX(0,'Ayarlar'!$B$6-IF('Ayarlar'!$B$7&lt;=0,99,ROUNDUP(MAX('Proje girdileri'!AC44,ROUNDUP('Proje girdileri'!AD44/'Ayarlar'!$B$7,0))/(52/12),0)))*IF('Proje girdileri'!C44="recurring",(IF(AND(1&gt;IF('Ayarlar'!$B$7&lt;=0,99,ROUNDUP(MAX('Proje girdileri'!AC44,ROUNDUP('Proje girdileri'!AD44/'Ayarlar'!$B$7,0))/(52/12),0)),12-1&lt;'Proje girdileri'!AH44),POWER(1-'Proje girdileri'!AT44,12-1),0)+IF(AND(2&gt;IF('Ayarlar'!$B$7&lt;=0,99,ROUNDUP(MAX('Proje girdileri'!AC44,ROUNDUP('Proje girdileri'!AD44/'Ayarlar'!$B$7,0))/(52/12),0)),12-2&lt;'Proje girdileri'!AH44),POWER(1-'Proje girdileri'!AT44,12-2),0)+IF(AND(3&gt;IF('Ayarlar'!$B$7&lt;=0,99,ROUNDUP(MAX('Proje girdileri'!AC44,ROUNDUP('Proje girdileri'!AD44/'Ayarlar'!$B$7,0))/(52/12),0)),12-3&lt;'Proje girdileri'!AH44),POWER(1-'Proje girdileri'!AT44,12-3),0)+IF(AND(4&gt;IF('Ayarlar'!$B$7&lt;=0,99,ROUNDUP(MAX('Proje girdileri'!AC44,ROUNDUP('Proje girdileri'!AD44/'Ayarlar'!$B$7,0))/(52/12),0)),12-4&lt;'Proje girdileri'!AH44),POWER(1-'Proje girdileri'!AT44,12-4),0)+IF(AND(5&gt;IF('Ayarlar'!$B$7&lt;=0,99,ROUNDUP(MAX('Proje girdileri'!AC44,ROUNDUP('Proje girdileri'!AD44/'Ayarlar'!$B$7,0))/(52/12),0)),12-5&lt;'Proje girdileri'!AH44),POWER(1-'Proje girdileri'!AT44,12-5),0)+IF(AND(6&gt;IF('Ayarlar'!$B$7&lt;=0,99,ROUNDUP(MAX('Proje girdileri'!AC44,ROUNDUP('Proje girdileri'!AD44/'Ayarlar'!$B$7,0))/(52/12),0)),12-6&lt;'Proje girdileri'!AH44),POWER(1-'Proje girdileri'!AT44,12-6),0)+IF(AND(7&gt;IF('Ayarlar'!$B$7&lt;=0,99,ROUNDUP(MAX('Proje girdileri'!AC44,ROUNDUP('Proje girdileri'!AD44/'Ayarlar'!$B$7,0))/(52/12),0)),12-7&lt;'Proje girdileri'!AH44),POWER(1-'Proje girdileri'!AT44,12-7),0)+IF(AND(8&gt;IF('Ayarlar'!$B$7&lt;=0,99,ROUNDUP(MAX('Proje girdileri'!AC44,ROUNDUP('Proje girdileri'!AD44/'Ayarlar'!$B$7,0))/(52/12),0)),12-8&lt;'Proje girdileri'!AH44),POWER(1-'Proje girdileri'!AT44,12-8),0)+IF(AND(9&gt;IF('Ayarlar'!$B$7&lt;=0,99,ROUNDUP(MAX('Proje girdileri'!AC44,ROUNDUP('Proje girdileri'!AD44/'Ayarlar'!$B$7,0))/(52/12),0)),12-9&lt;'Proje girdileri'!AH44),POWER(1-'Proje girdileri'!AT44,12-9),0)+IF(AND(10&gt;IF('Ayarlar'!$B$7&lt;=0,99,ROUNDUP(MAX('Proje girdileri'!AC44,ROUNDUP('Proje girdileri'!AD44/'Ayarlar'!$B$7,0))/(52/12),0)),12-10&lt;'Proje girdileri'!AH44),POWER(1-'Proje girdileri'!AT44,12-10),0)+IF(AND(11&gt;IF('Ayarlar'!$B$7&lt;=0,99,ROUNDUP(MAX('Proje girdileri'!AC44,ROUNDUP('Proje girdileri'!AD44/'Ayarlar'!$B$7,0))/(52/12),0)),12-11&lt;'Proje girdileri'!AH44),POWER(1-'Proje girdileri'!AT44,12-11),0)+IF(AND(12&gt;IF('Ayarlar'!$B$7&lt;=0,99,ROUNDUP(MAX('Proje girdileri'!AC44,ROUNDUP('Proje girdileri'!AD44/'Ayarlar'!$B$7,0))/(52/12),0)),12-12&lt;'Proje girdileri'!AH44),POWER(1-'Proje girdileri'!AT44,12-12),0)),IF(12&gt;IF('Ayarlar'!$B$7&lt;=0,99,ROUNDUP(MAX('Proje girdileri'!AC44,ROUNDUP('Proje girdileri'!AD44/'Ayarlar'!$B$7,0))/(52/12),0)),1,0))*('Proje girdileri'!Y44*(1-'Proje girdileri'!AA44-'Proje girdileri'!AB44)-'Proje girdileri'!Z44))-'Proje girdileri'!AJ44)</x:f>
        <x:v>0</x:v>
      </x:c>
      <x:c r="N44" s="24" t="n">
        <x:f>SUM(B44:M44)</x:f>
        <x:v>840</x:v>
      </x:c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</x:row>
    <x:row r="45" ht="24" customHeight="1">
      <x:c r="A45" s="2" t="str">
        <x:f>'Hesap'!B45</x:f>
        <x:v>Operasyon kapsam kaydı</x:v>
      </x:c>
      <x:c r="B45" s="24" t="n">
        <x:f>IF(1&gt;'Ayarlar'!$B$6,0,IF(MAX(0,'Ayarlar'!$B$6-IF('Ayarlar'!$B$7&lt;=0,99,ROUNDUP(MAX('Proje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girdileri'!AD45/'Ayarlar'!$B$7,0))/(52/12),0)),1-1&lt;'Proje girdileri'!AH45),POWER(1-'Proje girdileri'!AT45,1-1),0)),IF(1&gt;IF('Ayarlar'!$B$7&lt;=0,99,ROUNDUP(MAX('Proje girdileri'!AC45,ROUNDUP('Proje girdileri'!AD45/'Ayarlar'!$B$7,0))/(52/12),0)),1,0))*('Proje girdileri'!Y45*(1-'Proje girdileri'!AA45-'Proje girdileri'!AB45)-'Proje girdileri'!Z45))-'Proje girdileri'!AJ45-'Proje girdileri'!AI45)</x:f>
        <x:v>0</x:v>
      </x:c>
      <x:c r="C45" s="24" t="n">
        <x:f>IF(2&gt;'Ayarlar'!$B$6,0,IF(MAX(0,'Ayarlar'!$B$6-IF('Ayarlar'!$B$7&lt;=0,99,ROUNDUP(MAX('Proje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girdileri'!AD45/'Ayarlar'!$B$7,0))/(52/12),0)),2-1&lt;'Proje girdileri'!AH45),POWER(1-'Proje girdileri'!AT45,2-1),0)+IF(AND(2&gt;IF('Ayarlar'!$B$7&lt;=0,99,ROUNDUP(MAX('Proje girdileri'!AC45,ROUNDUP('Proje girdileri'!AD45/'Ayarlar'!$B$7,0))/(52/12),0)),2-2&lt;'Proje girdileri'!AH45),POWER(1-'Proje girdileri'!AT45,2-2),0)),IF(2&gt;IF('Ayarlar'!$B$7&lt;=0,99,ROUNDUP(MAX('Proje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D45" s="24" t="n">
        <x:f>IF(3&gt;'Ayarlar'!$B$6,0,IF(MAX(0,'Ayarlar'!$B$6-IF('Ayarlar'!$B$7&lt;=0,99,ROUNDUP(MAX('Proje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girdileri'!AD45/'Ayarlar'!$B$7,0))/(52/12),0)),3-1&lt;'Proje girdileri'!AH45),POWER(1-'Proje girdileri'!AT45,3-1),0)+IF(AND(2&gt;IF('Ayarlar'!$B$7&lt;=0,99,ROUNDUP(MAX('Proje girdileri'!AC45,ROUNDUP('Proje girdileri'!AD45/'Ayarlar'!$B$7,0))/(52/12),0)),3-2&lt;'Proje girdileri'!AH45),POWER(1-'Proje girdileri'!AT45,3-2),0)+IF(AND(3&gt;IF('Ayarlar'!$B$7&lt;=0,99,ROUNDUP(MAX('Proje girdileri'!AC45,ROUNDUP('Proje girdileri'!AD45/'Ayarlar'!$B$7,0))/(52/12),0)),3-3&lt;'Proje girdileri'!AH45),POWER(1-'Proje girdileri'!AT45,3-3),0)),IF(3&gt;IF('Ayarlar'!$B$7&lt;=0,99,ROUNDUP(MAX('Proje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E45" s="24" t="n">
        <x:f>IF(4&gt;'Ayarlar'!$B$6,0,IF(MAX(0,'Ayarlar'!$B$6-IF('Ayarlar'!$B$7&lt;=0,99,ROUNDUP(MAX('Proje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girdileri'!AD45/'Ayarlar'!$B$7,0))/(52/12),0)),4-1&lt;'Proje girdileri'!AH45),POWER(1-'Proje girdileri'!AT45,4-1),0)+IF(AND(2&gt;IF('Ayarlar'!$B$7&lt;=0,99,ROUNDUP(MAX('Proje girdileri'!AC45,ROUNDUP('Proje girdileri'!AD45/'Ayarlar'!$B$7,0))/(52/12),0)),4-2&lt;'Proje girdileri'!AH45),POWER(1-'Proje girdileri'!AT45,4-2),0)+IF(AND(3&gt;IF('Ayarlar'!$B$7&lt;=0,99,ROUNDUP(MAX('Proje girdileri'!AC45,ROUNDUP('Proje girdileri'!AD45/'Ayarlar'!$B$7,0))/(52/12),0)),4-3&lt;'Proje girdileri'!AH45),POWER(1-'Proje girdileri'!AT45,4-3),0)+IF(AND(4&gt;IF('Ayarlar'!$B$7&lt;=0,99,ROUNDUP(MAX('Proje girdileri'!AC45,ROUNDUP('Proje girdileri'!AD45/'Ayarlar'!$B$7,0))/(52/12),0)),4-4&lt;'Proje girdileri'!AH45),POWER(1-'Proje girdileri'!AT45,4-4),0)),IF(4&gt;IF('Ayarlar'!$B$7&lt;=0,99,ROUNDUP(MAX('Proje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F45" s="24" t="n">
        <x:f>IF(5&gt;'Ayarlar'!$B$6,0,IF(MAX(0,'Ayarlar'!$B$6-IF('Ayarlar'!$B$7&lt;=0,99,ROUNDUP(MAX('Proje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girdileri'!AD45/'Ayarlar'!$B$7,0))/(52/12),0)),5-1&lt;'Proje girdileri'!AH45),POWER(1-'Proje girdileri'!AT45,5-1),0)+IF(AND(2&gt;IF('Ayarlar'!$B$7&lt;=0,99,ROUNDUP(MAX('Proje girdileri'!AC45,ROUNDUP('Proje girdileri'!AD45/'Ayarlar'!$B$7,0))/(52/12),0)),5-2&lt;'Proje girdileri'!AH45),POWER(1-'Proje girdileri'!AT45,5-2),0)+IF(AND(3&gt;IF('Ayarlar'!$B$7&lt;=0,99,ROUNDUP(MAX('Proje girdileri'!AC45,ROUNDUP('Proje girdileri'!AD45/'Ayarlar'!$B$7,0))/(52/12),0)),5-3&lt;'Proje girdileri'!AH45),POWER(1-'Proje girdileri'!AT45,5-3),0)+IF(AND(4&gt;IF('Ayarlar'!$B$7&lt;=0,99,ROUNDUP(MAX('Proje girdileri'!AC45,ROUNDUP('Proje girdileri'!AD45/'Ayarlar'!$B$7,0))/(52/12),0)),5-4&lt;'Proje girdileri'!AH45),POWER(1-'Proje girdileri'!AT45,5-4),0)+IF(AND(5&gt;IF('Ayarlar'!$B$7&lt;=0,99,ROUNDUP(MAX('Proje girdileri'!AC45,ROUNDUP('Proje girdileri'!AD45/'Ayarlar'!$B$7,0))/(52/12),0)),5-5&lt;'Proje girdileri'!AH45),POWER(1-'Proje girdileri'!AT45,5-5),0)),IF(5&gt;IF('Ayarlar'!$B$7&lt;=0,99,ROUNDUP(MAX('Proje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G45" s="24" t="n">
        <x:f>IF(6&gt;'Ayarlar'!$B$6,0,IF(MAX(0,'Ayarlar'!$B$6-IF('Ayarlar'!$B$7&lt;=0,99,ROUNDUP(MAX('Proje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girdileri'!AD45/'Ayarlar'!$B$7,0))/(52/12),0)),6-1&lt;'Proje girdileri'!AH45),POWER(1-'Proje girdileri'!AT45,6-1),0)+IF(AND(2&gt;IF('Ayarlar'!$B$7&lt;=0,99,ROUNDUP(MAX('Proje girdileri'!AC45,ROUNDUP('Proje girdileri'!AD45/'Ayarlar'!$B$7,0))/(52/12),0)),6-2&lt;'Proje girdileri'!AH45),POWER(1-'Proje girdileri'!AT45,6-2),0)+IF(AND(3&gt;IF('Ayarlar'!$B$7&lt;=0,99,ROUNDUP(MAX('Proje girdileri'!AC45,ROUNDUP('Proje girdileri'!AD45/'Ayarlar'!$B$7,0))/(52/12),0)),6-3&lt;'Proje girdileri'!AH45),POWER(1-'Proje girdileri'!AT45,6-3),0)+IF(AND(4&gt;IF('Ayarlar'!$B$7&lt;=0,99,ROUNDUP(MAX('Proje girdileri'!AC45,ROUNDUP('Proje girdileri'!AD45/'Ayarlar'!$B$7,0))/(52/12),0)),6-4&lt;'Proje girdileri'!AH45),POWER(1-'Proje girdileri'!AT45,6-4),0)+IF(AND(5&gt;IF('Ayarlar'!$B$7&lt;=0,99,ROUNDUP(MAX('Proje girdileri'!AC45,ROUNDUP('Proje girdileri'!AD45/'Ayarlar'!$B$7,0))/(52/12),0)),6-5&lt;'Proje girdileri'!AH45),POWER(1-'Proje girdileri'!AT45,6-5),0)+IF(AND(6&gt;IF('Ayarlar'!$B$7&lt;=0,99,ROUNDUP(MAX('Proje girdileri'!AC45,ROUNDUP('Proje girdileri'!AD45/'Ayarlar'!$B$7,0))/(52/12),0)),6-6&lt;'Proje girdileri'!AH45),POWER(1-'Proje girdileri'!AT45,6-6),0)),IF(6&gt;IF('Ayarlar'!$B$7&lt;=0,99,ROUNDUP(MAX('Proje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H45" s="24" t="n">
        <x:f>IF(7&gt;'Ayarlar'!$B$6,0,IF(MAX(0,'Ayarlar'!$B$6-IF('Ayarlar'!$B$7&lt;=0,99,ROUNDUP(MAX('Proje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girdileri'!AD45/'Ayarlar'!$B$7,0))/(52/12),0)),7-1&lt;'Proje girdileri'!AH45),POWER(1-'Proje girdileri'!AT45,7-1),0)+IF(AND(2&gt;IF('Ayarlar'!$B$7&lt;=0,99,ROUNDUP(MAX('Proje girdileri'!AC45,ROUNDUP('Proje girdileri'!AD45/'Ayarlar'!$B$7,0))/(52/12),0)),7-2&lt;'Proje girdileri'!AH45),POWER(1-'Proje girdileri'!AT45,7-2),0)+IF(AND(3&gt;IF('Ayarlar'!$B$7&lt;=0,99,ROUNDUP(MAX('Proje girdileri'!AC45,ROUNDUP('Proje girdileri'!AD45/'Ayarlar'!$B$7,0))/(52/12),0)),7-3&lt;'Proje girdileri'!AH45),POWER(1-'Proje girdileri'!AT45,7-3),0)+IF(AND(4&gt;IF('Ayarlar'!$B$7&lt;=0,99,ROUNDUP(MAX('Proje girdileri'!AC45,ROUNDUP('Proje girdileri'!AD45/'Ayarlar'!$B$7,0))/(52/12),0)),7-4&lt;'Proje girdileri'!AH45),POWER(1-'Proje girdileri'!AT45,7-4),0)+IF(AND(5&gt;IF('Ayarlar'!$B$7&lt;=0,99,ROUNDUP(MAX('Proje girdileri'!AC45,ROUNDUP('Proje girdileri'!AD45/'Ayarlar'!$B$7,0))/(52/12),0)),7-5&lt;'Proje girdileri'!AH45),POWER(1-'Proje girdileri'!AT45,7-5),0)+IF(AND(6&gt;IF('Ayarlar'!$B$7&lt;=0,99,ROUNDUP(MAX('Proje girdileri'!AC45,ROUNDUP('Proje girdileri'!AD45/'Ayarlar'!$B$7,0))/(52/12),0)),7-6&lt;'Proje girdileri'!AH45),POWER(1-'Proje girdileri'!AT45,7-6),0)+IF(AND(7&gt;IF('Ayarlar'!$B$7&lt;=0,99,ROUNDUP(MAX('Proje girdileri'!AC45,ROUNDUP('Proje girdileri'!AD45/'Ayarlar'!$B$7,0))/(52/12),0)),7-7&lt;'Proje girdileri'!AH45),POWER(1-'Proje girdileri'!AT45,7-7),0)),IF(7&gt;IF('Ayarlar'!$B$7&lt;=0,99,ROUNDUP(MAX('Proje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I45" s="24" t="n">
        <x:f>IF(8&gt;'Ayarlar'!$B$6,0,IF(MAX(0,'Ayarlar'!$B$6-IF('Ayarlar'!$B$7&lt;=0,99,ROUNDUP(MAX('Proje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girdileri'!AD45/'Ayarlar'!$B$7,0))/(52/12),0)),8-1&lt;'Proje girdileri'!AH45),POWER(1-'Proje girdileri'!AT45,8-1),0)+IF(AND(2&gt;IF('Ayarlar'!$B$7&lt;=0,99,ROUNDUP(MAX('Proje girdileri'!AC45,ROUNDUP('Proje girdileri'!AD45/'Ayarlar'!$B$7,0))/(52/12),0)),8-2&lt;'Proje girdileri'!AH45),POWER(1-'Proje girdileri'!AT45,8-2),0)+IF(AND(3&gt;IF('Ayarlar'!$B$7&lt;=0,99,ROUNDUP(MAX('Proje girdileri'!AC45,ROUNDUP('Proje girdileri'!AD45/'Ayarlar'!$B$7,0))/(52/12),0)),8-3&lt;'Proje girdileri'!AH45),POWER(1-'Proje girdileri'!AT45,8-3),0)+IF(AND(4&gt;IF('Ayarlar'!$B$7&lt;=0,99,ROUNDUP(MAX('Proje girdileri'!AC45,ROUNDUP('Proje girdileri'!AD45/'Ayarlar'!$B$7,0))/(52/12),0)),8-4&lt;'Proje girdileri'!AH45),POWER(1-'Proje girdileri'!AT45,8-4),0)+IF(AND(5&gt;IF('Ayarlar'!$B$7&lt;=0,99,ROUNDUP(MAX('Proje girdileri'!AC45,ROUNDUP('Proje girdileri'!AD45/'Ayarlar'!$B$7,0))/(52/12),0)),8-5&lt;'Proje girdileri'!AH45),POWER(1-'Proje girdileri'!AT45,8-5),0)+IF(AND(6&gt;IF('Ayarlar'!$B$7&lt;=0,99,ROUNDUP(MAX('Proje girdileri'!AC45,ROUNDUP('Proje girdileri'!AD45/'Ayarlar'!$B$7,0))/(52/12),0)),8-6&lt;'Proje girdileri'!AH45),POWER(1-'Proje girdileri'!AT45,8-6),0)+IF(AND(7&gt;IF('Ayarlar'!$B$7&lt;=0,99,ROUNDUP(MAX('Proje girdileri'!AC45,ROUNDUP('Proje girdileri'!AD45/'Ayarlar'!$B$7,0))/(52/12),0)),8-7&lt;'Proje girdileri'!AH45),POWER(1-'Proje girdileri'!AT45,8-7),0)+IF(AND(8&gt;IF('Ayarlar'!$B$7&lt;=0,99,ROUNDUP(MAX('Proje girdileri'!AC45,ROUNDUP('Proje girdileri'!AD45/'Ayarlar'!$B$7,0))/(52/12),0)),8-8&lt;'Proje girdileri'!AH45),POWER(1-'Proje girdileri'!AT45,8-8),0)),IF(8&gt;IF('Ayarlar'!$B$7&lt;=0,99,ROUNDUP(MAX('Proje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J45" s="24" t="n">
        <x:f>IF(9&gt;'Ayarlar'!$B$6,0,IF(MAX(0,'Ayarlar'!$B$6-IF('Ayarlar'!$B$7&lt;=0,99,ROUNDUP(MAX('Proje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girdileri'!AD45/'Ayarlar'!$B$7,0))/(52/12),0)),9-1&lt;'Proje girdileri'!AH45),POWER(1-'Proje girdileri'!AT45,9-1),0)+IF(AND(2&gt;IF('Ayarlar'!$B$7&lt;=0,99,ROUNDUP(MAX('Proje girdileri'!AC45,ROUNDUP('Proje girdileri'!AD45/'Ayarlar'!$B$7,0))/(52/12),0)),9-2&lt;'Proje girdileri'!AH45),POWER(1-'Proje girdileri'!AT45,9-2),0)+IF(AND(3&gt;IF('Ayarlar'!$B$7&lt;=0,99,ROUNDUP(MAX('Proje girdileri'!AC45,ROUNDUP('Proje girdileri'!AD45/'Ayarlar'!$B$7,0))/(52/12),0)),9-3&lt;'Proje girdileri'!AH45),POWER(1-'Proje girdileri'!AT45,9-3),0)+IF(AND(4&gt;IF('Ayarlar'!$B$7&lt;=0,99,ROUNDUP(MAX('Proje girdileri'!AC45,ROUNDUP('Proje girdileri'!AD45/'Ayarlar'!$B$7,0))/(52/12),0)),9-4&lt;'Proje girdileri'!AH45),POWER(1-'Proje girdileri'!AT45,9-4),0)+IF(AND(5&gt;IF('Ayarlar'!$B$7&lt;=0,99,ROUNDUP(MAX('Proje girdileri'!AC45,ROUNDUP('Proje girdileri'!AD45/'Ayarlar'!$B$7,0))/(52/12),0)),9-5&lt;'Proje girdileri'!AH45),POWER(1-'Proje girdileri'!AT45,9-5),0)+IF(AND(6&gt;IF('Ayarlar'!$B$7&lt;=0,99,ROUNDUP(MAX('Proje girdileri'!AC45,ROUNDUP('Proje girdileri'!AD45/'Ayarlar'!$B$7,0))/(52/12),0)),9-6&lt;'Proje girdileri'!AH45),POWER(1-'Proje girdileri'!AT45,9-6),0)+IF(AND(7&gt;IF('Ayarlar'!$B$7&lt;=0,99,ROUNDUP(MAX('Proje girdileri'!AC45,ROUNDUP('Proje girdileri'!AD45/'Ayarlar'!$B$7,0))/(52/12),0)),9-7&lt;'Proje girdileri'!AH45),POWER(1-'Proje girdileri'!AT45,9-7),0)+IF(AND(8&gt;IF('Ayarlar'!$B$7&lt;=0,99,ROUNDUP(MAX('Proje girdileri'!AC45,ROUNDUP('Proje girdileri'!AD45/'Ayarlar'!$B$7,0))/(52/12),0)),9-8&lt;'Proje girdileri'!AH45),POWER(1-'Proje girdileri'!AT45,9-8),0)+IF(AND(9&gt;IF('Ayarlar'!$B$7&lt;=0,99,ROUNDUP(MAX('Proje girdileri'!AC45,ROUNDUP('Proje girdileri'!AD45/'Ayarlar'!$B$7,0))/(52/12),0)),9-9&lt;'Proje girdileri'!AH45),POWER(1-'Proje girdileri'!AT45,9-9),0)),IF(9&gt;IF('Ayarlar'!$B$7&lt;=0,99,ROUNDUP(MAX('Proje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K45" s="24" t="n">
        <x:f>IF(10&gt;'Ayarlar'!$B$6,0,IF(MAX(0,'Ayarlar'!$B$6-IF('Ayarlar'!$B$7&lt;=0,99,ROUNDUP(MAX('Proje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girdileri'!AD45/'Ayarlar'!$B$7,0))/(52/12),0)),10-1&lt;'Proje girdileri'!AH45),POWER(1-'Proje girdileri'!AT45,10-1),0)+IF(AND(2&gt;IF('Ayarlar'!$B$7&lt;=0,99,ROUNDUP(MAX('Proje girdileri'!AC45,ROUNDUP('Proje girdileri'!AD45/'Ayarlar'!$B$7,0))/(52/12),0)),10-2&lt;'Proje girdileri'!AH45),POWER(1-'Proje girdileri'!AT45,10-2),0)+IF(AND(3&gt;IF('Ayarlar'!$B$7&lt;=0,99,ROUNDUP(MAX('Proje girdileri'!AC45,ROUNDUP('Proje girdileri'!AD45/'Ayarlar'!$B$7,0))/(52/12),0)),10-3&lt;'Proje girdileri'!AH45),POWER(1-'Proje girdileri'!AT45,10-3),0)+IF(AND(4&gt;IF('Ayarlar'!$B$7&lt;=0,99,ROUNDUP(MAX('Proje girdileri'!AC45,ROUNDUP('Proje girdileri'!AD45/'Ayarlar'!$B$7,0))/(52/12),0)),10-4&lt;'Proje girdileri'!AH45),POWER(1-'Proje girdileri'!AT45,10-4),0)+IF(AND(5&gt;IF('Ayarlar'!$B$7&lt;=0,99,ROUNDUP(MAX('Proje girdileri'!AC45,ROUNDUP('Proje girdileri'!AD45/'Ayarlar'!$B$7,0))/(52/12),0)),10-5&lt;'Proje girdileri'!AH45),POWER(1-'Proje girdileri'!AT45,10-5),0)+IF(AND(6&gt;IF('Ayarlar'!$B$7&lt;=0,99,ROUNDUP(MAX('Proje girdileri'!AC45,ROUNDUP('Proje girdileri'!AD45/'Ayarlar'!$B$7,0))/(52/12),0)),10-6&lt;'Proje girdileri'!AH45),POWER(1-'Proje girdileri'!AT45,10-6),0)+IF(AND(7&gt;IF('Ayarlar'!$B$7&lt;=0,99,ROUNDUP(MAX('Proje girdileri'!AC45,ROUNDUP('Proje girdileri'!AD45/'Ayarlar'!$B$7,0))/(52/12),0)),10-7&lt;'Proje girdileri'!AH45),POWER(1-'Proje girdileri'!AT45,10-7),0)+IF(AND(8&gt;IF('Ayarlar'!$B$7&lt;=0,99,ROUNDUP(MAX('Proje girdileri'!AC45,ROUNDUP('Proje girdileri'!AD45/'Ayarlar'!$B$7,0))/(52/12),0)),10-8&lt;'Proje girdileri'!AH45),POWER(1-'Proje girdileri'!AT45,10-8),0)+IF(AND(9&gt;IF('Ayarlar'!$B$7&lt;=0,99,ROUNDUP(MAX('Proje girdileri'!AC45,ROUNDUP('Proje girdileri'!AD45/'Ayarlar'!$B$7,0))/(52/12),0)),10-9&lt;'Proje girdileri'!AH45),POWER(1-'Proje girdileri'!AT45,10-9),0)+IF(AND(10&gt;IF('Ayarlar'!$B$7&lt;=0,99,ROUNDUP(MAX('Proje girdileri'!AC45,ROUNDUP('Proje girdileri'!AD45/'Ayarlar'!$B$7,0))/(52/12),0)),10-10&lt;'Proje girdileri'!AH45),POWER(1-'Proje girdileri'!AT45,10-10),0)),IF(10&gt;IF('Ayarlar'!$B$7&lt;=0,99,ROUNDUP(MAX('Proje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L45" s="24" t="n">
        <x:f>IF(11&gt;'Ayarlar'!$B$6,0,IF(MAX(0,'Ayarlar'!$B$6-IF('Ayarlar'!$B$7&lt;=0,99,ROUNDUP(MAX('Proje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girdileri'!AD45/'Ayarlar'!$B$7,0))/(52/12),0)),11-1&lt;'Proje girdileri'!AH45),POWER(1-'Proje girdileri'!AT45,11-1),0)+IF(AND(2&gt;IF('Ayarlar'!$B$7&lt;=0,99,ROUNDUP(MAX('Proje girdileri'!AC45,ROUNDUP('Proje girdileri'!AD45/'Ayarlar'!$B$7,0))/(52/12),0)),11-2&lt;'Proje girdileri'!AH45),POWER(1-'Proje girdileri'!AT45,11-2),0)+IF(AND(3&gt;IF('Ayarlar'!$B$7&lt;=0,99,ROUNDUP(MAX('Proje girdileri'!AC45,ROUNDUP('Proje girdileri'!AD45/'Ayarlar'!$B$7,0))/(52/12),0)),11-3&lt;'Proje girdileri'!AH45),POWER(1-'Proje girdileri'!AT45,11-3),0)+IF(AND(4&gt;IF('Ayarlar'!$B$7&lt;=0,99,ROUNDUP(MAX('Proje girdileri'!AC45,ROUNDUP('Proje girdileri'!AD45/'Ayarlar'!$B$7,0))/(52/12),0)),11-4&lt;'Proje girdileri'!AH45),POWER(1-'Proje girdileri'!AT45,11-4),0)+IF(AND(5&gt;IF('Ayarlar'!$B$7&lt;=0,99,ROUNDUP(MAX('Proje girdileri'!AC45,ROUNDUP('Proje girdileri'!AD45/'Ayarlar'!$B$7,0))/(52/12),0)),11-5&lt;'Proje girdileri'!AH45),POWER(1-'Proje girdileri'!AT45,11-5),0)+IF(AND(6&gt;IF('Ayarlar'!$B$7&lt;=0,99,ROUNDUP(MAX('Proje girdileri'!AC45,ROUNDUP('Proje girdileri'!AD45/'Ayarlar'!$B$7,0))/(52/12),0)),11-6&lt;'Proje girdileri'!AH45),POWER(1-'Proje girdileri'!AT45,11-6),0)+IF(AND(7&gt;IF('Ayarlar'!$B$7&lt;=0,99,ROUNDUP(MAX('Proje girdileri'!AC45,ROUNDUP('Proje girdileri'!AD45/'Ayarlar'!$B$7,0))/(52/12),0)),11-7&lt;'Proje girdileri'!AH45),POWER(1-'Proje girdileri'!AT45,11-7),0)+IF(AND(8&gt;IF('Ayarlar'!$B$7&lt;=0,99,ROUNDUP(MAX('Proje girdileri'!AC45,ROUNDUP('Proje girdileri'!AD45/'Ayarlar'!$B$7,0))/(52/12),0)),11-8&lt;'Proje girdileri'!AH45),POWER(1-'Proje girdileri'!AT45,11-8),0)+IF(AND(9&gt;IF('Ayarlar'!$B$7&lt;=0,99,ROUNDUP(MAX('Proje girdileri'!AC45,ROUNDUP('Proje girdileri'!AD45/'Ayarlar'!$B$7,0))/(52/12),0)),11-9&lt;'Proje girdileri'!AH45),POWER(1-'Proje girdileri'!AT45,11-9),0)+IF(AND(10&gt;IF('Ayarlar'!$B$7&lt;=0,99,ROUNDUP(MAX('Proje girdileri'!AC45,ROUNDUP('Proje girdileri'!AD45/'Ayarlar'!$B$7,0))/(52/12),0)),11-10&lt;'Proje girdileri'!AH45),POWER(1-'Proje girdileri'!AT45,11-10),0)+IF(AND(11&gt;IF('Ayarlar'!$B$7&lt;=0,99,ROUNDUP(MAX('Proje girdileri'!AC45,ROUNDUP('Proje girdileri'!AD45/'Ayarlar'!$B$7,0))/(52/12),0)),11-11&lt;'Proje girdileri'!AH45),POWER(1-'Proje girdileri'!AT45,11-11),0)),IF(11&gt;IF('Ayarlar'!$B$7&lt;=0,99,ROUNDUP(MAX('Proje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M45" s="24" t="n">
        <x:f>IF(12&gt;'Ayarlar'!$B$6,0,IF(MAX(0,'Ayarlar'!$B$6-IF('Ayarlar'!$B$7&lt;=0,99,ROUNDUP(MAX('Proje girdileri'!AC45,ROUNDUP('Proje girdileri'!AD45/'Ayarlar'!$B$7,0))/(52/12),0)))=0,0,'Hesap'!I45/MAX(0,'Ayarlar'!$B$6-IF('Ayarlar'!$B$7&lt;=0,99,ROUNDUP(MAX('Proje girdileri'!AC45,ROUNDUP('Proje girdileri'!AD45/'Ayarlar'!$B$7,0))/(52/12),0)))*IF('Proje girdileri'!C45="recurring",(IF(AND(1&gt;IF('Ayarlar'!$B$7&lt;=0,99,ROUNDUP(MAX('Proje girdileri'!AC45,ROUNDUP('Proje girdileri'!AD45/'Ayarlar'!$B$7,0))/(52/12),0)),12-1&lt;'Proje girdileri'!AH45),POWER(1-'Proje girdileri'!AT45,12-1),0)+IF(AND(2&gt;IF('Ayarlar'!$B$7&lt;=0,99,ROUNDUP(MAX('Proje girdileri'!AC45,ROUNDUP('Proje girdileri'!AD45/'Ayarlar'!$B$7,0))/(52/12),0)),12-2&lt;'Proje girdileri'!AH45),POWER(1-'Proje girdileri'!AT45,12-2),0)+IF(AND(3&gt;IF('Ayarlar'!$B$7&lt;=0,99,ROUNDUP(MAX('Proje girdileri'!AC45,ROUNDUP('Proje girdileri'!AD45/'Ayarlar'!$B$7,0))/(52/12),0)),12-3&lt;'Proje girdileri'!AH45),POWER(1-'Proje girdileri'!AT45,12-3),0)+IF(AND(4&gt;IF('Ayarlar'!$B$7&lt;=0,99,ROUNDUP(MAX('Proje girdileri'!AC45,ROUNDUP('Proje girdileri'!AD45/'Ayarlar'!$B$7,0))/(52/12),0)),12-4&lt;'Proje girdileri'!AH45),POWER(1-'Proje girdileri'!AT45,12-4),0)+IF(AND(5&gt;IF('Ayarlar'!$B$7&lt;=0,99,ROUNDUP(MAX('Proje girdileri'!AC45,ROUNDUP('Proje girdileri'!AD45/'Ayarlar'!$B$7,0))/(52/12),0)),12-5&lt;'Proje girdileri'!AH45),POWER(1-'Proje girdileri'!AT45,12-5),0)+IF(AND(6&gt;IF('Ayarlar'!$B$7&lt;=0,99,ROUNDUP(MAX('Proje girdileri'!AC45,ROUNDUP('Proje girdileri'!AD45/'Ayarlar'!$B$7,0))/(52/12),0)),12-6&lt;'Proje girdileri'!AH45),POWER(1-'Proje girdileri'!AT45,12-6),0)+IF(AND(7&gt;IF('Ayarlar'!$B$7&lt;=0,99,ROUNDUP(MAX('Proje girdileri'!AC45,ROUNDUP('Proje girdileri'!AD45/'Ayarlar'!$B$7,0))/(52/12),0)),12-7&lt;'Proje girdileri'!AH45),POWER(1-'Proje girdileri'!AT45,12-7),0)+IF(AND(8&gt;IF('Ayarlar'!$B$7&lt;=0,99,ROUNDUP(MAX('Proje girdileri'!AC45,ROUNDUP('Proje girdileri'!AD45/'Ayarlar'!$B$7,0))/(52/12),0)),12-8&lt;'Proje girdileri'!AH45),POWER(1-'Proje girdileri'!AT45,12-8),0)+IF(AND(9&gt;IF('Ayarlar'!$B$7&lt;=0,99,ROUNDUP(MAX('Proje girdileri'!AC45,ROUNDUP('Proje girdileri'!AD45/'Ayarlar'!$B$7,0))/(52/12),0)),12-9&lt;'Proje girdileri'!AH45),POWER(1-'Proje girdileri'!AT45,12-9),0)+IF(AND(10&gt;IF('Ayarlar'!$B$7&lt;=0,99,ROUNDUP(MAX('Proje girdileri'!AC45,ROUNDUP('Proje girdileri'!AD45/'Ayarlar'!$B$7,0))/(52/12),0)),12-10&lt;'Proje girdileri'!AH45),POWER(1-'Proje girdileri'!AT45,12-10),0)+IF(AND(11&gt;IF('Ayarlar'!$B$7&lt;=0,99,ROUNDUP(MAX('Proje girdileri'!AC45,ROUNDUP('Proje girdileri'!AD45/'Ayarlar'!$B$7,0))/(52/12),0)),12-11&lt;'Proje girdileri'!AH45),POWER(1-'Proje girdileri'!AT45,12-11),0)+IF(AND(12&gt;IF('Ayarlar'!$B$7&lt;=0,99,ROUNDUP(MAX('Proje girdileri'!AC45,ROUNDUP('Proje girdileri'!AD45/'Ayarlar'!$B$7,0))/(52/12),0)),12-12&lt;'Proje girdileri'!AH45),POWER(1-'Proje girdileri'!AT45,12-12),0)),IF(12&gt;IF('Ayarlar'!$B$7&lt;=0,99,ROUNDUP(MAX('Proje girdileri'!AC45,ROUNDUP('Proje girdileri'!AD45/'Ayarlar'!$B$7,0))/(52/12),0)),1,0))*('Proje girdileri'!Y45*(1-'Proje girdileri'!AA45-'Proje girdileri'!AB45)-'Proje girdileri'!Z45))-'Proje girdileri'!AJ45)</x:f>
        <x:v>0</x:v>
      </x:c>
      <x:c r="N45" s="24" t="n">
        <x:f>SUM(B45:M45)</x:f>
        <x:v>0</x:v>
      </x:c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</x:row>
    <x:row r="46" ht="24" customHeight="1">
      <x:c r="A46" s="2" t="str">
        <x:f>'Hesap'!B46</x:f>
        <x:v>Viseos operasyon</x:v>
      </x:c>
      <x:c r="B46" s="24" t="n">
        <x:f>IF(1&gt;'Ayarlar'!$B$6,0,IF(MAX(0,'Ayarlar'!$B$6-IF('Ayarlar'!$B$7&lt;=0,99,ROUNDUP(MAX('Proje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girdileri'!AD46/'Ayarlar'!$B$7,0))/(52/12),0)),1-1&lt;'Proje girdileri'!AH46),POWER(1-'Proje girdileri'!AT46,1-1),0)),IF(1&gt;IF('Ayarlar'!$B$7&lt;=0,99,ROUNDUP(MAX('Proje girdileri'!AC46,ROUNDUP('Proje girdileri'!AD46/'Ayarlar'!$B$7,0))/(52/12),0)),1,0))*('Proje girdileri'!Y46*(1-'Proje girdileri'!AA46-'Proje girdileri'!AB46)-'Proje girdileri'!Z46))-'Proje girdileri'!AJ46-'Proje girdileri'!AI46)</x:f>
        <x:v>-270</x:v>
      </x:c>
      <x:c r="C46" s="24" t="n">
        <x:f>IF(2&gt;'Ayarlar'!$B$6,0,IF(MAX(0,'Ayarlar'!$B$6-IF('Ayarlar'!$B$7&lt;=0,99,ROUNDUP(MAX('Proje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girdileri'!AD46/'Ayarlar'!$B$7,0))/(52/12),0)),2-1&lt;'Proje girdileri'!AH46),POWER(1-'Proje girdileri'!AT46,2-1),0)+IF(AND(2&gt;IF('Ayarlar'!$B$7&lt;=0,99,ROUNDUP(MAX('Proje girdileri'!AC46,ROUNDUP('Proje girdileri'!AD46/'Ayarlar'!$B$7,0))/(52/12),0)),2-2&lt;'Proje girdileri'!AH46),POWER(1-'Proje girdileri'!AT46,2-2),0)),IF(2&gt;IF('Ayarlar'!$B$7&lt;=0,99,ROUNDUP(MAX('Proje girdileri'!AC46,ROUNDUP('Proje girdileri'!AD46/'Ayarlar'!$B$7,0))/(52/12),0)),1,0))*('Proje girdileri'!Y46*(1-'Proje girdileri'!AA46-'Proje girdileri'!AB46)-'Proje girdileri'!Z46))-'Proje girdileri'!AJ46)</x:f>
        <x:v>-20</x:v>
      </x:c>
      <x:c r="D46" s="24" t="n">
        <x:f>IF(3&gt;'Ayarlar'!$B$6,0,IF(MAX(0,'Ayarlar'!$B$6-IF('Ayarlar'!$B$7&lt;=0,99,ROUNDUP(MAX('Proje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girdileri'!AD46/'Ayarlar'!$B$7,0))/(52/12),0)),3-1&lt;'Proje girdileri'!AH46),POWER(1-'Proje girdileri'!AT46,3-1),0)+IF(AND(2&gt;IF('Ayarlar'!$B$7&lt;=0,99,ROUNDUP(MAX('Proje girdileri'!AC46,ROUNDUP('Proje girdileri'!AD46/'Ayarlar'!$B$7,0))/(52/12),0)),3-2&lt;'Proje girdileri'!AH46),POWER(1-'Proje girdileri'!AT46,3-2),0)+IF(AND(3&gt;IF('Ayarlar'!$B$7&lt;=0,99,ROUNDUP(MAX('Proje girdileri'!AC46,ROUNDUP('Proje girdileri'!AD46/'Ayarlar'!$B$7,0))/(52/12),0)),3-3&lt;'Proje girdileri'!AH46),POWER(1-'Proje girdileri'!AT46,3-3),0)),IF(3&gt;IF('Ayarlar'!$B$7&lt;=0,99,ROUNDUP(MAX('Proje girdileri'!AC46,ROUNDUP('Proje girdileri'!AD46/'Ayarlar'!$B$7,0))/(52/12),0)),1,0))*('Proje girdileri'!Y46*(1-'Proje girdileri'!AA46-'Proje girdileri'!AB46)-'Proje girdileri'!Z46))-'Proje girdileri'!AJ46)</x:f>
        <x:v>-20</x:v>
      </x:c>
      <x:c r="E46" s="24" t="n">
        <x:f>IF(4&gt;'Ayarlar'!$B$6,0,IF(MAX(0,'Ayarlar'!$B$6-IF('Ayarlar'!$B$7&lt;=0,99,ROUNDUP(MAX('Proje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girdileri'!AD46/'Ayarlar'!$B$7,0))/(52/12),0)),4-1&lt;'Proje girdileri'!AH46),POWER(1-'Proje girdileri'!AT46,4-1),0)+IF(AND(2&gt;IF('Ayarlar'!$B$7&lt;=0,99,ROUNDUP(MAX('Proje girdileri'!AC46,ROUNDUP('Proje girdileri'!AD46/'Ayarlar'!$B$7,0))/(52/12),0)),4-2&lt;'Proje girdileri'!AH46),POWER(1-'Proje girdileri'!AT46,4-2),0)+IF(AND(3&gt;IF('Ayarlar'!$B$7&lt;=0,99,ROUNDUP(MAX('Proje girdileri'!AC46,ROUNDUP('Proje girdileri'!AD46/'Ayarlar'!$B$7,0))/(52/12),0)),4-3&lt;'Proje girdileri'!AH46),POWER(1-'Proje girdileri'!AT46,4-3),0)+IF(AND(4&gt;IF('Ayarlar'!$B$7&lt;=0,99,ROUNDUP(MAX('Proje girdileri'!AC46,ROUNDUP('Proje girdileri'!AD46/'Ayarlar'!$B$7,0))/(52/12),0)),4-4&lt;'Proje girdileri'!AH46),POWER(1-'Proje girdileri'!AT46,4-4),0)),IF(4&gt;IF('Ayarlar'!$B$7&lt;=0,99,ROUNDUP(MAX('Proje girdileri'!AC46,ROUNDUP('Proje girdileri'!AD46/'Ayarlar'!$B$7,0))/(52/12),0)),1,0))*('Proje girdileri'!Y46*(1-'Proje girdileri'!AA46-'Proje girdileri'!AB46)-'Proje girdileri'!Z46))-'Proje girdileri'!AJ46)</x:f>
        <x:v>-20</x:v>
      </x:c>
      <x:c r="F46" s="24" t="n">
        <x:f>IF(5&gt;'Ayarlar'!$B$6,0,IF(MAX(0,'Ayarlar'!$B$6-IF('Ayarlar'!$B$7&lt;=0,99,ROUNDUP(MAX('Proje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girdileri'!AD46/'Ayarlar'!$B$7,0))/(52/12),0)),5-1&lt;'Proje girdileri'!AH46),POWER(1-'Proje girdileri'!AT46,5-1),0)+IF(AND(2&gt;IF('Ayarlar'!$B$7&lt;=0,99,ROUNDUP(MAX('Proje girdileri'!AC46,ROUNDUP('Proje girdileri'!AD46/'Ayarlar'!$B$7,0))/(52/12),0)),5-2&lt;'Proje girdileri'!AH46),POWER(1-'Proje girdileri'!AT46,5-2),0)+IF(AND(3&gt;IF('Ayarlar'!$B$7&lt;=0,99,ROUNDUP(MAX('Proje girdileri'!AC46,ROUNDUP('Proje girdileri'!AD46/'Ayarlar'!$B$7,0))/(52/12),0)),5-3&lt;'Proje girdileri'!AH46),POWER(1-'Proje girdileri'!AT46,5-3),0)+IF(AND(4&gt;IF('Ayarlar'!$B$7&lt;=0,99,ROUNDUP(MAX('Proje girdileri'!AC46,ROUNDUP('Proje girdileri'!AD46/'Ayarlar'!$B$7,0))/(52/12),0)),5-4&lt;'Proje girdileri'!AH46),POWER(1-'Proje girdileri'!AT46,5-4),0)+IF(AND(5&gt;IF('Ayarlar'!$B$7&lt;=0,99,ROUNDUP(MAX('Proje girdileri'!AC46,ROUNDUP('Proje girdileri'!AD46/'Ayarlar'!$B$7,0))/(52/12),0)),5-5&lt;'Proje girdileri'!AH46),POWER(1-'Proje girdileri'!AT46,5-5),0)),IF(5&gt;IF('Ayarlar'!$B$7&lt;=0,99,ROUNDUP(MAX('Proje girdileri'!AC46,ROUNDUP('Proje girdileri'!AD46/'Ayarlar'!$B$7,0))/(52/12),0)),1,0))*('Proje girdileri'!Y46*(1-'Proje girdileri'!AA46-'Proje girdileri'!AB46)-'Proje girdileri'!Z46))-'Proje girdileri'!AJ46)</x:f>
        <x:v>-20</x:v>
      </x:c>
      <x:c r="G46" s="24" t="n">
        <x:f>IF(6&gt;'Ayarlar'!$B$6,0,IF(MAX(0,'Ayarlar'!$B$6-IF('Ayarlar'!$B$7&lt;=0,99,ROUNDUP(MAX('Proje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girdileri'!AD46/'Ayarlar'!$B$7,0))/(52/12),0)),6-1&lt;'Proje girdileri'!AH46),POWER(1-'Proje girdileri'!AT46,6-1),0)+IF(AND(2&gt;IF('Ayarlar'!$B$7&lt;=0,99,ROUNDUP(MAX('Proje girdileri'!AC46,ROUNDUP('Proje girdileri'!AD46/'Ayarlar'!$B$7,0))/(52/12),0)),6-2&lt;'Proje girdileri'!AH46),POWER(1-'Proje girdileri'!AT46,6-2),0)+IF(AND(3&gt;IF('Ayarlar'!$B$7&lt;=0,99,ROUNDUP(MAX('Proje girdileri'!AC46,ROUNDUP('Proje girdileri'!AD46/'Ayarlar'!$B$7,0))/(52/12),0)),6-3&lt;'Proje girdileri'!AH46),POWER(1-'Proje girdileri'!AT46,6-3),0)+IF(AND(4&gt;IF('Ayarlar'!$B$7&lt;=0,99,ROUNDUP(MAX('Proje girdileri'!AC46,ROUNDUP('Proje girdileri'!AD46/'Ayarlar'!$B$7,0))/(52/12),0)),6-4&lt;'Proje girdileri'!AH46),POWER(1-'Proje girdileri'!AT46,6-4),0)+IF(AND(5&gt;IF('Ayarlar'!$B$7&lt;=0,99,ROUNDUP(MAX('Proje girdileri'!AC46,ROUNDUP('Proje girdileri'!AD46/'Ayarlar'!$B$7,0))/(52/12),0)),6-5&lt;'Proje girdileri'!AH46),POWER(1-'Proje girdileri'!AT46,6-5),0)+IF(AND(6&gt;IF('Ayarlar'!$B$7&lt;=0,99,ROUNDUP(MAX('Proje girdileri'!AC46,ROUNDUP('Proje girdileri'!AD46/'Ayarlar'!$B$7,0))/(52/12),0)),6-6&lt;'Proje girdileri'!AH46),POWER(1-'Proje girdileri'!AT46,6-6),0)),IF(6&gt;IF('Ayarlar'!$B$7&lt;=0,99,ROUNDUP(MAX('Proje girdileri'!AC46,ROUNDUP('Proje girdileri'!AD46/'Ayarlar'!$B$7,0))/(52/12),0)),1,0))*('Proje girdileri'!Y46*(1-'Proje girdileri'!AA46-'Proje girdileri'!AB46)-'Proje girdileri'!Z46))-'Proje girdileri'!AJ46)</x:f>
        <x:v>454.39</x:v>
      </x:c>
      <x:c r="H46" s="24" t="n">
        <x:f>IF(7&gt;'Ayarlar'!$B$6,0,IF(MAX(0,'Ayarlar'!$B$6-IF('Ayarlar'!$B$7&lt;=0,99,ROUNDUP(MAX('Proje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girdileri'!AD46/'Ayarlar'!$B$7,0))/(52/12),0)),7-1&lt;'Proje girdileri'!AH46),POWER(1-'Proje girdileri'!AT46,7-1),0)+IF(AND(2&gt;IF('Ayarlar'!$B$7&lt;=0,99,ROUNDUP(MAX('Proje girdileri'!AC46,ROUNDUP('Proje girdileri'!AD46/'Ayarlar'!$B$7,0))/(52/12),0)),7-2&lt;'Proje girdileri'!AH46),POWER(1-'Proje girdileri'!AT46,7-2),0)+IF(AND(3&gt;IF('Ayarlar'!$B$7&lt;=0,99,ROUNDUP(MAX('Proje girdileri'!AC46,ROUNDUP('Proje girdileri'!AD46/'Ayarlar'!$B$7,0))/(52/12),0)),7-3&lt;'Proje girdileri'!AH46),POWER(1-'Proje girdileri'!AT46,7-3),0)+IF(AND(4&gt;IF('Ayarlar'!$B$7&lt;=0,99,ROUNDUP(MAX('Proje girdileri'!AC46,ROUNDUP('Proje girdileri'!AD46/'Ayarlar'!$B$7,0))/(52/12),0)),7-4&lt;'Proje girdileri'!AH46),POWER(1-'Proje girdileri'!AT46,7-4),0)+IF(AND(5&gt;IF('Ayarlar'!$B$7&lt;=0,99,ROUNDUP(MAX('Proje girdileri'!AC46,ROUNDUP('Proje girdileri'!AD46/'Ayarlar'!$B$7,0))/(52/12),0)),7-5&lt;'Proje girdileri'!AH46),POWER(1-'Proje girdileri'!AT46,7-5),0)+IF(AND(6&gt;IF('Ayarlar'!$B$7&lt;=0,99,ROUNDUP(MAX('Proje girdileri'!AC46,ROUNDUP('Proje girdileri'!AD46/'Ayarlar'!$B$7,0))/(52/12),0)),7-6&lt;'Proje girdileri'!AH46),POWER(1-'Proje girdileri'!AT46,7-6),0)+IF(AND(7&gt;IF('Ayarlar'!$B$7&lt;=0,99,ROUNDUP(MAX('Proje girdileri'!AC46,ROUNDUP('Proje girdileri'!AD46/'Ayarlar'!$B$7,0))/(52/12),0)),7-7&lt;'Proje girdileri'!AH46),POWER(1-'Proje girdileri'!AT46,7-7),0)),IF(7&gt;IF('Ayarlar'!$B$7&lt;=0,99,ROUNDUP(MAX('Proje girdileri'!AC46,ROUNDUP('Proje girdileri'!AD46/'Ayarlar'!$B$7,0))/(52/12),0)),1,0))*('Proje girdileri'!Y46*(1-'Proje girdileri'!AA46-'Proje girdileri'!AB46)-'Proje girdileri'!Z46))-'Proje girdileri'!AJ46)</x:f>
        <x:v>0</x:v>
      </x:c>
      <x:c r="I46" s="24" t="n">
        <x:f>IF(8&gt;'Ayarlar'!$B$6,0,IF(MAX(0,'Ayarlar'!$B$6-IF('Ayarlar'!$B$7&lt;=0,99,ROUNDUP(MAX('Proje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girdileri'!AD46/'Ayarlar'!$B$7,0))/(52/12),0)),8-1&lt;'Proje girdileri'!AH46),POWER(1-'Proje girdileri'!AT46,8-1),0)+IF(AND(2&gt;IF('Ayarlar'!$B$7&lt;=0,99,ROUNDUP(MAX('Proje girdileri'!AC46,ROUNDUP('Proje girdileri'!AD46/'Ayarlar'!$B$7,0))/(52/12),0)),8-2&lt;'Proje girdileri'!AH46),POWER(1-'Proje girdileri'!AT46,8-2),0)+IF(AND(3&gt;IF('Ayarlar'!$B$7&lt;=0,99,ROUNDUP(MAX('Proje girdileri'!AC46,ROUNDUP('Proje girdileri'!AD46/'Ayarlar'!$B$7,0))/(52/12),0)),8-3&lt;'Proje girdileri'!AH46),POWER(1-'Proje girdileri'!AT46,8-3),0)+IF(AND(4&gt;IF('Ayarlar'!$B$7&lt;=0,99,ROUNDUP(MAX('Proje girdileri'!AC46,ROUNDUP('Proje girdileri'!AD46/'Ayarlar'!$B$7,0))/(52/12),0)),8-4&lt;'Proje girdileri'!AH46),POWER(1-'Proje girdileri'!AT46,8-4),0)+IF(AND(5&gt;IF('Ayarlar'!$B$7&lt;=0,99,ROUNDUP(MAX('Proje girdileri'!AC46,ROUNDUP('Proje girdileri'!AD46/'Ayarlar'!$B$7,0))/(52/12),0)),8-5&lt;'Proje girdileri'!AH46),POWER(1-'Proje girdileri'!AT46,8-5),0)+IF(AND(6&gt;IF('Ayarlar'!$B$7&lt;=0,99,ROUNDUP(MAX('Proje girdileri'!AC46,ROUNDUP('Proje girdileri'!AD46/'Ayarlar'!$B$7,0))/(52/12),0)),8-6&lt;'Proje girdileri'!AH46),POWER(1-'Proje girdileri'!AT46,8-6),0)+IF(AND(7&gt;IF('Ayarlar'!$B$7&lt;=0,99,ROUNDUP(MAX('Proje girdileri'!AC46,ROUNDUP('Proje girdileri'!AD46/'Ayarlar'!$B$7,0))/(52/12),0)),8-7&lt;'Proje girdileri'!AH46),POWER(1-'Proje girdileri'!AT46,8-7),0)+IF(AND(8&gt;IF('Ayarlar'!$B$7&lt;=0,99,ROUNDUP(MAX('Proje girdileri'!AC46,ROUNDUP('Proje girdileri'!AD46/'Ayarlar'!$B$7,0))/(52/12),0)),8-8&lt;'Proje girdileri'!AH46),POWER(1-'Proje girdileri'!AT46,8-8),0)),IF(8&gt;IF('Ayarlar'!$B$7&lt;=0,99,ROUNDUP(MAX('Proje girdileri'!AC46,ROUNDUP('Proje girdileri'!AD46/'Ayarlar'!$B$7,0))/(52/12),0)),1,0))*('Proje girdileri'!Y46*(1-'Proje girdileri'!AA46-'Proje girdileri'!AB46)-'Proje girdileri'!Z46))-'Proje girdileri'!AJ46)</x:f>
        <x:v>0</x:v>
      </x:c>
      <x:c r="J46" s="24" t="n">
        <x:f>IF(9&gt;'Ayarlar'!$B$6,0,IF(MAX(0,'Ayarlar'!$B$6-IF('Ayarlar'!$B$7&lt;=0,99,ROUNDUP(MAX('Proje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girdileri'!AD46/'Ayarlar'!$B$7,0))/(52/12),0)),9-1&lt;'Proje girdileri'!AH46),POWER(1-'Proje girdileri'!AT46,9-1),0)+IF(AND(2&gt;IF('Ayarlar'!$B$7&lt;=0,99,ROUNDUP(MAX('Proje girdileri'!AC46,ROUNDUP('Proje girdileri'!AD46/'Ayarlar'!$B$7,0))/(52/12),0)),9-2&lt;'Proje girdileri'!AH46),POWER(1-'Proje girdileri'!AT46,9-2),0)+IF(AND(3&gt;IF('Ayarlar'!$B$7&lt;=0,99,ROUNDUP(MAX('Proje girdileri'!AC46,ROUNDUP('Proje girdileri'!AD46/'Ayarlar'!$B$7,0))/(52/12),0)),9-3&lt;'Proje girdileri'!AH46),POWER(1-'Proje girdileri'!AT46,9-3),0)+IF(AND(4&gt;IF('Ayarlar'!$B$7&lt;=0,99,ROUNDUP(MAX('Proje girdileri'!AC46,ROUNDUP('Proje girdileri'!AD46/'Ayarlar'!$B$7,0))/(52/12),0)),9-4&lt;'Proje girdileri'!AH46),POWER(1-'Proje girdileri'!AT46,9-4),0)+IF(AND(5&gt;IF('Ayarlar'!$B$7&lt;=0,99,ROUNDUP(MAX('Proje girdileri'!AC46,ROUNDUP('Proje girdileri'!AD46/'Ayarlar'!$B$7,0))/(52/12),0)),9-5&lt;'Proje girdileri'!AH46),POWER(1-'Proje girdileri'!AT46,9-5),0)+IF(AND(6&gt;IF('Ayarlar'!$B$7&lt;=0,99,ROUNDUP(MAX('Proje girdileri'!AC46,ROUNDUP('Proje girdileri'!AD46/'Ayarlar'!$B$7,0))/(52/12),0)),9-6&lt;'Proje girdileri'!AH46),POWER(1-'Proje girdileri'!AT46,9-6),0)+IF(AND(7&gt;IF('Ayarlar'!$B$7&lt;=0,99,ROUNDUP(MAX('Proje girdileri'!AC46,ROUNDUP('Proje girdileri'!AD46/'Ayarlar'!$B$7,0))/(52/12),0)),9-7&lt;'Proje girdileri'!AH46),POWER(1-'Proje girdileri'!AT46,9-7),0)+IF(AND(8&gt;IF('Ayarlar'!$B$7&lt;=0,99,ROUNDUP(MAX('Proje girdileri'!AC46,ROUNDUP('Proje girdileri'!AD46/'Ayarlar'!$B$7,0))/(52/12),0)),9-8&lt;'Proje girdileri'!AH46),POWER(1-'Proje girdileri'!AT46,9-8),0)+IF(AND(9&gt;IF('Ayarlar'!$B$7&lt;=0,99,ROUNDUP(MAX('Proje girdileri'!AC46,ROUNDUP('Proje girdileri'!AD46/'Ayarlar'!$B$7,0))/(52/12),0)),9-9&lt;'Proje girdileri'!AH46),POWER(1-'Proje girdileri'!AT46,9-9),0)),IF(9&gt;IF('Ayarlar'!$B$7&lt;=0,99,ROUNDUP(MAX('Proje girdileri'!AC46,ROUNDUP('Proje girdileri'!AD46/'Ayarlar'!$B$7,0))/(52/12),0)),1,0))*('Proje girdileri'!Y46*(1-'Proje girdileri'!AA46-'Proje girdileri'!AB46)-'Proje girdileri'!Z46))-'Proje girdileri'!AJ46)</x:f>
        <x:v>0</x:v>
      </x:c>
      <x:c r="K46" s="24" t="n">
        <x:f>IF(10&gt;'Ayarlar'!$B$6,0,IF(MAX(0,'Ayarlar'!$B$6-IF('Ayarlar'!$B$7&lt;=0,99,ROUNDUP(MAX('Proje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girdileri'!AD46/'Ayarlar'!$B$7,0))/(52/12),0)),10-1&lt;'Proje girdileri'!AH46),POWER(1-'Proje girdileri'!AT46,10-1),0)+IF(AND(2&gt;IF('Ayarlar'!$B$7&lt;=0,99,ROUNDUP(MAX('Proje girdileri'!AC46,ROUNDUP('Proje girdileri'!AD46/'Ayarlar'!$B$7,0))/(52/12),0)),10-2&lt;'Proje girdileri'!AH46),POWER(1-'Proje girdileri'!AT46,10-2),0)+IF(AND(3&gt;IF('Ayarlar'!$B$7&lt;=0,99,ROUNDUP(MAX('Proje girdileri'!AC46,ROUNDUP('Proje girdileri'!AD46/'Ayarlar'!$B$7,0))/(52/12),0)),10-3&lt;'Proje girdileri'!AH46),POWER(1-'Proje girdileri'!AT46,10-3),0)+IF(AND(4&gt;IF('Ayarlar'!$B$7&lt;=0,99,ROUNDUP(MAX('Proje girdileri'!AC46,ROUNDUP('Proje girdileri'!AD46/'Ayarlar'!$B$7,0))/(52/12),0)),10-4&lt;'Proje girdileri'!AH46),POWER(1-'Proje girdileri'!AT46,10-4),0)+IF(AND(5&gt;IF('Ayarlar'!$B$7&lt;=0,99,ROUNDUP(MAX('Proje girdileri'!AC46,ROUNDUP('Proje girdileri'!AD46/'Ayarlar'!$B$7,0))/(52/12),0)),10-5&lt;'Proje girdileri'!AH46),POWER(1-'Proje girdileri'!AT46,10-5),0)+IF(AND(6&gt;IF('Ayarlar'!$B$7&lt;=0,99,ROUNDUP(MAX('Proje girdileri'!AC46,ROUNDUP('Proje girdileri'!AD46/'Ayarlar'!$B$7,0))/(52/12),0)),10-6&lt;'Proje girdileri'!AH46),POWER(1-'Proje girdileri'!AT46,10-6),0)+IF(AND(7&gt;IF('Ayarlar'!$B$7&lt;=0,99,ROUNDUP(MAX('Proje girdileri'!AC46,ROUNDUP('Proje girdileri'!AD46/'Ayarlar'!$B$7,0))/(52/12),0)),10-7&lt;'Proje girdileri'!AH46),POWER(1-'Proje girdileri'!AT46,10-7),0)+IF(AND(8&gt;IF('Ayarlar'!$B$7&lt;=0,99,ROUNDUP(MAX('Proje girdileri'!AC46,ROUNDUP('Proje girdileri'!AD46/'Ayarlar'!$B$7,0))/(52/12),0)),10-8&lt;'Proje girdileri'!AH46),POWER(1-'Proje girdileri'!AT46,10-8),0)+IF(AND(9&gt;IF('Ayarlar'!$B$7&lt;=0,99,ROUNDUP(MAX('Proje girdileri'!AC46,ROUNDUP('Proje girdileri'!AD46/'Ayarlar'!$B$7,0))/(52/12),0)),10-9&lt;'Proje girdileri'!AH46),POWER(1-'Proje girdileri'!AT46,10-9),0)+IF(AND(10&gt;IF('Ayarlar'!$B$7&lt;=0,99,ROUNDUP(MAX('Proje girdileri'!AC46,ROUNDUP('Proje girdileri'!AD46/'Ayarlar'!$B$7,0))/(52/12),0)),10-10&lt;'Proje girdileri'!AH46),POWER(1-'Proje girdileri'!AT46,10-10),0)),IF(10&gt;IF('Ayarlar'!$B$7&lt;=0,99,ROUNDUP(MAX('Proje girdileri'!AC46,ROUNDUP('Proje girdileri'!AD46/'Ayarlar'!$B$7,0))/(52/12),0)),1,0))*('Proje girdileri'!Y46*(1-'Proje girdileri'!AA46-'Proje girdileri'!AB46)-'Proje girdileri'!Z46))-'Proje girdileri'!AJ46)</x:f>
        <x:v>0</x:v>
      </x:c>
      <x:c r="L46" s="24" t="n">
        <x:f>IF(11&gt;'Ayarlar'!$B$6,0,IF(MAX(0,'Ayarlar'!$B$6-IF('Ayarlar'!$B$7&lt;=0,99,ROUNDUP(MAX('Proje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girdileri'!AD46/'Ayarlar'!$B$7,0))/(52/12),0)),11-1&lt;'Proje girdileri'!AH46),POWER(1-'Proje girdileri'!AT46,11-1),0)+IF(AND(2&gt;IF('Ayarlar'!$B$7&lt;=0,99,ROUNDUP(MAX('Proje girdileri'!AC46,ROUNDUP('Proje girdileri'!AD46/'Ayarlar'!$B$7,0))/(52/12),0)),11-2&lt;'Proje girdileri'!AH46),POWER(1-'Proje girdileri'!AT46,11-2),0)+IF(AND(3&gt;IF('Ayarlar'!$B$7&lt;=0,99,ROUNDUP(MAX('Proje girdileri'!AC46,ROUNDUP('Proje girdileri'!AD46/'Ayarlar'!$B$7,0))/(52/12),0)),11-3&lt;'Proje girdileri'!AH46),POWER(1-'Proje girdileri'!AT46,11-3),0)+IF(AND(4&gt;IF('Ayarlar'!$B$7&lt;=0,99,ROUNDUP(MAX('Proje girdileri'!AC46,ROUNDUP('Proje girdileri'!AD46/'Ayarlar'!$B$7,0))/(52/12),0)),11-4&lt;'Proje girdileri'!AH46),POWER(1-'Proje girdileri'!AT46,11-4),0)+IF(AND(5&gt;IF('Ayarlar'!$B$7&lt;=0,99,ROUNDUP(MAX('Proje girdileri'!AC46,ROUNDUP('Proje girdileri'!AD46/'Ayarlar'!$B$7,0))/(52/12),0)),11-5&lt;'Proje girdileri'!AH46),POWER(1-'Proje girdileri'!AT46,11-5),0)+IF(AND(6&gt;IF('Ayarlar'!$B$7&lt;=0,99,ROUNDUP(MAX('Proje girdileri'!AC46,ROUNDUP('Proje girdileri'!AD46/'Ayarlar'!$B$7,0))/(52/12),0)),11-6&lt;'Proje girdileri'!AH46),POWER(1-'Proje girdileri'!AT46,11-6),0)+IF(AND(7&gt;IF('Ayarlar'!$B$7&lt;=0,99,ROUNDUP(MAX('Proje girdileri'!AC46,ROUNDUP('Proje girdileri'!AD46/'Ayarlar'!$B$7,0))/(52/12),0)),11-7&lt;'Proje girdileri'!AH46),POWER(1-'Proje girdileri'!AT46,11-7),0)+IF(AND(8&gt;IF('Ayarlar'!$B$7&lt;=0,99,ROUNDUP(MAX('Proje girdileri'!AC46,ROUNDUP('Proje girdileri'!AD46/'Ayarlar'!$B$7,0))/(52/12),0)),11-8&lt;'Proje girdileri'!AH46),POWER(1-'Proje girdileri'!AT46,11-8),0)+IF(AND(9&gt;IF('Ayarlar'!$B$7&lt;=0,99,ROUNDUP(MAX('Proje girdileri'!AC46,ROUNDUP('Proje girdileri'!AD46/'Ayarlar'!$B$7,0))/(52/12),0)),11-9&lt;'Proje girdileri'!AH46),POWER(1-'Proje girdileri'!AT46,11-9),0)+IF(AND(10&gt;IF('Ayarlar'!$B$7&lt;=0,99,ROUNDUP(MAX('Proje girdileri'!AC46,ROUNDUP('Proje girdileri'!AD46/'Ayarlar'!$B$7,0))/(52/12),0)),11-10&lt;'Proje girdileri'!AH46),POWER(1-'Proje girdileri'!AT46,11-10),0)+IF(AND(11&gt;IF('Ayarlar'!$B$7&lt;=0,99,ROUNDUP(MAX('Proje girdileri'!AC46,ROUNDUP('Proje girdileri'!AD46/'Ayarlar'!$B$7,0))/(52/12),0)),11-11&lt;'Proje girdileri'!AH46),POWER(1-'Proje girdileri'!AT46,11-11),0)),IF(11&gt;IF('Ayarlar'!$B$7&lt;=0,99,ROUNDUP(MAX('Proje girdileri'!AC46,ROUNDUP('Proje girdileri'!AD46/'Ayarlar'!$B$7,0))/(52/12),0)),1,0))*('Proje girdileri'!Y46*(1-'Proje girdileri'!AA46-'Proje girdileri'!AB46)-'Proje girdileri'!Z46))-'Proje girdileri'!AJ46)</x:f>
        <x:v>0</x:v>
      </x:c>
      <x:c r="M46" s="24" t="n">
        <x:f>IF(12&gt;'Ayarlar'!$B$6,0,IF(MAX(0,'Ayarlar'!$B$6-IF('Ayarlar'!$B$7&lt;=0,99,ROUNDUP(MAX('Proje girdileri'!AC46,ROUNDUP('Proje girdileri'!AD46/'Ayarlar'!$B$7,0))/(52/12),0)))=0,0,'Hesap'!I46/MAX(0,'Ayarlar'!$B$6-IF('Ayarlar'!$B$7&lt;=0,99,ROUNDUP(MAX('Proje girdileri'!AC46,ROUNDUP('Proje girdileri'!AD46/'Ayarlar'!$B$7,0))/(52/12),0)))*IF('Proje girdileri'!C46="recurring",(IF(AND(1&gt;IF('Ayarlar'!$B$7&lt;=0,99,ROUNDUP(MAX('Proje girdileri'!AC46,ROUNDUP('Proje girdileri'!AD46/'Ayarlar'!$B$7,0))/(52/12),0)),12-1&lt;'Proje girdileri'!AH46),POWER(1-'Proje girdileri'!AT46,12-1),0)+IF(AND(2&gt;IF('Ayarlar'!$B$7&lt;=0,99,ROUNDUP(MAX('Proje girdileri'!AC46,ROUNDUP('Proje girdileri'!AD46/'Ayarlar'!$B$7,0))/(52/12),0)),12-2&lt;'Proje girdileri'!AH46),POWER(1-'Proje girdileri'!AT46,12-2),0)+IF(AND(3&gt;IF('Ayarlar'!$B$7&lt;=0,99,ROUNDUP(MAX('Proje girdileri'!AC46,ROUNDUP('Proje girdileri'!AD46/'Ayarlar'!$B$7,0))/(52/12),0)),12-3&lt;'Proje girdileri'!AH46),POWER(1-'Proje girdileri'!AT46,12-3),0)+IF(AND(4&gt;IF('Ayarlar'!$B$7&lt;=0,99,ROUNDUP(MAX('Proje girdileri'!AC46,ROUNDUP('Proje girdileri'!AD46/'Ayarlar'!$B$7,0))/(52/12),0)),12-4&lt;'Proje girdileri'!AH46),POWER(1-'Proje girdileri'!AT46,12-4),0)+IF(AND(5&gt;IF('Ayarlar'!$B$7&lt;=0,99,ROUNDUP(MAX('Proje girdileri'!AC46,ROUNDUP('Proje girdileri'!AD46/'Ayarlar'!$B$7,0))/(52/12),0)),12-5&lt;'Proje girdileri'!AH46),POWER(1-'Proje girdileri'!AT46,12-5),0)+IF(AND(6&gt;IF('Ayarlar'!$B$7&lt;=0,99,ROUNDUP(MAX('Proje girdileri'!AC46,ROUNDUP('Proje girdileri'!AD46/'Ayarlar'!$B$7,0))/(52/12),0)),12-6&lt;'Proje girdileri'!AH46),POWER(1-'Proje girdileri'!AT46,12-6),0)+IF(AND(7&gt;IF('Ayarlar'!$B$7&lt;=0,99,ROUNDUP(MAX('Proje girdileri'!AC46,ROUNDUP('Proje girdileri'!AD46/'Ayarlar'!$B$7,0))/(52/12),0)),12-7&lt;'Proje girdileri'!AH46),POWER(1-'Proje girdileri'!AT46,12-7),0)+IF(AND(8&gt;IF('Ayarlar'!$B$7&lt;=0,99,ROUNDUP(MAX('Proje girdileri'!AC46,ROUNDUP('Proje girdileri'!AD46/'Ayarlar'!$B$7,0))/(52/12),0)),12-8&lt;'Proje girdileri'!AH46),POWER(1-'Proje girdileri'!AT46,12-8),0)+IF(AND(9&gt;IF('Ayarlar'!$B$7&lt;=0,99,ROUNDUP(MAX('Proje girdileri'!AC46,ROUNDUP('Proje girdileri'!AD46/'Ayarlar'!$B$7,0))/(52/12),0)),12-9&lt;'Proje girdileri'!AH46),POWER(1-'Proje girdileri'!AT46,12-9),0)+IF(AND(10&gt;IF('Ayarlar'!$B$7&lt;=0,99,ROUNDUP(MAX('Proje girdileri'!AC46,ROUNDUP('Proje girdileri'!AD46/'Ayarlar'!$B$7,0))/(52/12),0)),12-10&lt;'Proje girdileri'!AH46),POWER(1-'Proje girdileri'!AT46,12-10),0)+IF(AND(11&gt;IF('Ayarlar'!$B$7&lt;=0,99,ROUNDUP(MAX('Proje girdileri'!AC46,ROUNDUP('Proje girdileri'!AD46/'Ayarlar'!$B$7,0))/(52/12),0)),12-11&lt;'Proje girdileri'!AH46),POWER(1-'Proje girdileri'!AT46,12-11),0)+IF(AND(12&gt;IF('Ayarlar'!$B$7&lt;=0,99,ROUNDUP(MAX('Proje girdileri'!AC46,ROUNDUP('Proje girdileri'!AD46/'Ayarlar'!$B$7,0))/(52/12),0)),12-12&lt;'Proje girdileri'!AH46),POWER(1-'Proje girdileri'!AT46,12-12),0)),IF(12&gt;IF('Ayarlar'!$B$7&lt;=0,99,ROUNDUP(MAX('Proje girdileri'!AC46,ROUNDUP('Proje girdileri'!AD46/'Ayarlar'!$B$7,0))/(52/12),0)),1,0))*('Proje girdileri'!Y46*(1-'Proje girdileri'!AA46-'Proje girdileri'!AB46)-'Proje girdileri'!Z46))-'Proje girdileri'!AJ46)</x:f>
        <x:v>0</x:v>
      </x:c>
      <x:c r="N46" s="24" t="n">
        <x:f>SUM(B46:M46)</x:f>
        <x:v>104.38999999999999</x:v>
      </x:c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</x:row>
    <x:row r="47" ht="24" customHeight="1">
      <x:c r="A47" s="2" t="str">
        <x:f>'Hesap'!B47</x:f>
        <x:v>Volley Tap</x:v>
      </x:c>
      <x:c r="B47" s="24" t="n">
        <x:f>IF(1&gt;'Ayarlar'!$B$6,0,IF(MAX(0,'Ayarlar'!$B$6-IF('Ayarlar'!$B$7&lt;=0,99,ROUNDUP(MAX('Proje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girdileri'!AD47/'Ayarlar'!$B$7,0))/(52/12),0)),1-1&lt;'Proje girdileri'!AH47),POWER(1-'Proje girdileri'!AT47,1-1),0)),IF(1&gt;IF('Ayarlar'!$B$7&lt;=0,99,ROUNDUP(MAX('Proje girdileri'!AC47,ROUNDUP('Proje girdileri'!AD47/'Ayarlar'!$B$7,0))/(52/12),0)),1,0))*('Proje girdileri'!Y47*(1-'Proje girdileri'!AA47-'Proje girdileri'!AB47)-'Proje girdileri'!Z47))-'Proje girdileri'!AJ47-'Proje girdileri'!AI47)</x:f>
        <x:v>-83</x:v>
      </x:c>
      <x:c r="C47" s="24" t="n">
        <x:f>IF(2&gt;'Ayarlar'!$B$6,0,IF(MAX(0,'Ayarlar'!$B$6-IF('Ayarlar'!$B$7&lt;=0,99,ROUNDUP(MAX('Proje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girdileri'!AD47/'Ayarlar'!$B$7,0))/(52/12),0)),2-1&lt;'Proje girdileri'!AH47),POWER(1-'Proje girdileri'!AT47,2-1),0)+IF(AND(2&gt;IF('Ayarlar'!$B$7&lt;=0,99,ROUNDUP(MAX('Proje girdileri'!AC47,ROUNDUP('Proje girdileri'!AD47/'Ayarlar'!$B$7,0))/(52/12),0)),2-2&lt;'Proje girdileri'!AH47),POWER(1-'Proje girdileri'!AT47,2-2),0)),IF(2&gt;IF('Ayarlar'!$B$7&lt;=0,99,ROUNDUP(MAX('Proje girdileri'!AC47,ROUNDUP('Proje girdileri'!AD47/'Ayarlar'!$B$7,0))/(52/12),0)),1,0))*('Proje girdileri'!Y47*(1-'Proje girdileri'!AA47-'Proje girdileri'!AB47)-'Proje girdileri'!Z47))-'Proje girdileri'!AJ47)</x:f>
        <x:v>-8</x:v>
      </x:c>
      <x:c r="D47" s="24" t="n">
        <x:f>IF(3&gt;'Ayarlar'!$B$6,0,IF(MAX(0,'Ayarlar'!$B$6-IF('Ayarlar'!$B$7&lt;=0,99,ROUNDUP(MAX('Proje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girdileri'!AD47/'Ayarlar'!$B$7,0))/(52/12),0)),3-1&lt;'Proje girdileri'!AH47),POWER(1-'Proje girdileri'!AT47,3-1),0)+IF(AND(2&gt;IF('Ayarlar'!$B$7&lt;=0,99,ROUNDUP(MAX('Proje girdileri'!AC47,ROUNDUP('Proje girdileri'!AD47/'Ayarlar'!$B$7,0))/(52/12),0)),3-2&lt;'Proje girdileri'!AH47),POWER(1-'Proje girdileri'!AT47,3-2),0)+IF(AND(3&gt;IF('Ayarlar'!$B$7&lt;=0,99,ROUNDUP(MAX('Proje girdileri'!AC47,ROUNDUP('Proje girdileri'!AD47/'Ayarlar'!$B$7,0))/(52/12),0)),3-3&lt;'Proje girdileri'!AH47),POWER(1-'Proje girdileri'!AT47,3-3),0)),IF(3&gt;IF('Ayarlar'!$B$7&lt;=0,99,ROUNDUP(MAX('Proje girdileri'!AC47,ROUNDUP('Proje girdileri'!AD47/'Ayarlar'!$B$7,0))/(52/12),0)),1,0))*('Proje girdileri'!Y47*(1-'Proje girdileri'!AA47-'Proje girdileri'!AB47)-'Proje girdileri'!Z47))-'Proje girdileri'!AJ47)</x:f>
        <x:v>-1.75</x:v>
      </x:c>
      <x:c r="E47" s="24" t="n">
        <x:f>IF(4&gt;'Ayarlar'!$B$6,0,IF(MAX(0,'Ayarlar'!$B$6-IF('Ayarlar'!$B$7&lt;=0,99,ROUNDUP(MAX('Proje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girdileri'!AD47/'Ayarlar'!$B$7,0))/(52/12),0)),4-1&lt;'Proje girdileri'!AH47),POWER(1-'Proje girdileri'!AT47,4-1),0)+IF(AND(2&gt;IF('Ayarlar'!$B$7&lt;=0,99,ROUNDUP(MAX('Proje girdileri'!AC47,ROUNDUP('Proje girdileri'!AD47/'Ayarlar'!$B$7,0))/(52/12),0)),4-2&lt;'Proje girdileri'!AH47),POWER(1-'Proje girdileri'!AT47,4-2),0)+IF(AND(3&gt;IF('Ayarlar'!$B$7&lt;=0,99,ROUNDUP(MAX('Proje girdileri'!AC47,ROUNDUP('Proje girdileri'!AD47/'Ayarlar'!$B$7,0))/(52/12),0)),4-3&lt;'Proje girdileri'!AH47),POWER(1-'Proje girdileri'!AT47,4-3),0)+IF(AND(4&gt;IF('Ayarlar'!$B$7&lt;=0,99,ROUNDUP(MAX('Proje girdileri'!AC47,ROUNDUP('Proje girdileri'!AD47/'Ayarlar'!$B$7,0))/(52/12),0)),4-4&lt;'Proje girdileri'!AH47),POWER(1-'Proje girdileri'!AT47,4-4),0)),IF(4&gt;IF('Ayarlar'!$B$7&lt;=0,99,ROUNDUP(MAX('Proje girdileri'!AC47,ROUNDUP('Proje girdileri'!AD47/'Ayarlar'!$B$7,0))/(52/12),0)),1,0))*('Proje girdileri'!Y47*(1-'Proje girdileri'!AA47-'Proje girdileri'!AB47)-'Proje girdileri'!Z47))-'Proje girdileri'!AJ47)</x:f>
        <x:v>-1.75</x:v>
      </x:c>
      <x:c r="F47" s="24" t="n">
        <x:f>IF(5&gt;'Ayarlar'!$B$6,0,IF(MAX(0,'Ayarlar'!$B$6-IF('Ayarlar'!$B$7&lt;=0,99,ROUNDUP(MAX('Proje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girdileri'!AD47/'Ayarlar'!$B$7,0))/(52/12),0)),5-1&lt;'Proje girdileri'!AH47),POWER(1-'Proje girdileri'!AT47,5-1),0)+IF(AND(2&gt;IF('Ayarlar'!$B$7&lt;=0,99,ROUNDUP(MAX('Proje girdileri'!AC47,ROUNDUP('Proje girdileri'!AD47/'Ayarlar'!$B$7,0))/(52/12),0)),5-2&lt;'Proje girdileri'!AH47),POWER(1-'Proje girdileri'!AT47,5-2),0)+IF(AND(3&gt;IF('Ayarlar'!$B$7&lt;=0,99,ROUNDUP(MAX('Proje girdileri'!AC47,ROUNDUP('Proje girdileri'!AD47/'Ayarlar'!$B$7,0))/(52/12),0)),5-3&lt;'Proje girdileri'!AH47),POWER(1-'Proje girdileri'!AT47,5-3),0)+IF(AND(4&gt;IF('Ayarlar'!$B$7&lt;=0,99,ROUNDUP(MAX('Proje girdileri'!AC47,ROUNDUP('Proje girdileri'!AD47/'Ayarlar'!$B$7,0))/(52/12),0)),5-4&lt;'Proje girdileri'!AH47),POWER(1-'Proje girdileri'!AT47,5-4),0)+IF(AND(5&gt;IF('Ayarlar'!$B$7&lt;=0,99,ROUNDUP(MAX('Proje girdileri'!AC47,ROUNDUP('Proje girdileri'!AD47/'Ayarlar'!$B$7,0))/(52/12),0)),5-5&lt;'Proje girdileri'!AH47),POWER(1-'Proje girdileri'!AT47,5-5),0)),IF(5&gt;IF('Ayarlar'!$B$7&lt;=0,99,ROUNDUP(MAX('Proje girdileri'!AC47,ROUNDUP('Proje girdileri'!AD47/'Ayarlar'!$B$7,0))/(52/12),0)),1,0))*('Proje girdileri'!Y47*(1-'Proje girdileri'!AA47-'Proje girdileri'!AB47)-'Proje girdileri'!Z47))-'Proje girdileri'!AJ47)</x:f>
        <x:v>-1.75</x:v>
      </x:c>
      <x:c r="G47" s="24" t="n">
        <x:f>IF(6&gt;'Ayarlar'!$B$6,0,IF(MAX(0,'Ayarlar'!$B$6-IF('Ayarlar'!$B$7&lt;=0,99,ROUNDUP(MAX('Proje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girdileri'!AD47/'Ayarlar'!$B$7,0))/(52/12),0)),6-1&lt;'Proje girdileri'!AH47),POWER(1-'Proje girdileri'!AT47,6-1),0)+IF(AND(2&gt;IF('Ayarlar'!$B$7&lt;=0,99,ROUNDUP(MAX('Proje girdileri'!AC47,ROUNDUP('Proje girdileri'!AD47/'Ayarlar'!$B$7,0))/(52/12),0)),6-2&lt;'Proje girdileri'!AH47),POWER(1-'Proje girdileri'!AT47,6-2),0)+IF(AND(3&gt;IF('Ayarlar'!$B$7&lt;=0,99,ROUNDUP(MAX('Proje girdileri'!AC47,ROUNDUP('Proje girdileri'!AD47/'Ayarlar'!$B$7,0))/(52/12),0)),6-3&lt;'Proje girdileri'!AH47),POWER(1-'Proje girdileri'!AT47,6-3),0)+IF(AND(4&gt;IF('Ayarlar'!$B$7&lt;=0,99,ROUNDUP(MAX('Proje girdileri'!AC47,ROUNDUP('Proje girdileri'!AD47/'Ayarlar'!$B$7,0))/(52/12),0)),6-4&lt;'Proje girdileri'!AH47),POWER(1-'Proje girdileri'!AT47,6-4),0)+IF(AND(5&gt;IF('Ayarlar'!$B$7&lt;=0,99,ROUNDUP(MAX('Proje girdileri'!AC47,ROUNDUP('Proje girdileri'!AD47/'Ayarlar'!$B$7,0))/(52/12),0)),6-5&lt;'Proje girdileri'!AH47),POWER(1-'Proje girdileri'!AT47,6-5),0)+IF(AND(6&gt;IF('Ayarlar'!$B$7&lt;=0,99,ROUNDUP(MAX('Proje girdileri'!AC47,ROUNDUP('Proje girdileri'!AD47/'Ayarlar'!$B$7,0))/(52/12),0)),6-6&lt;'Proje girdileri'!AH47),POWER(1-'Proje girdileri'!AT47,6-6),0)),IF(6&gt;IF('Ayarlar'!$B$7&lt;=0,99,ROUNDUP(MAX('Proje girdileri'!AC47,ROUNDUP('Proje girdileri'!AD47/'Ayarlar'!$B$7,0))/(52/12),0)),1,0))*('Proje girdileri'!Y47*(1-'Proje girdileri'!AA47-'Proje girdileri'!AB47)-'Proje girdileri'!Z47))-'Proje girdileri'!AJ47)</x:f>
        <x:v>-1.75</x:v>
      </x:c>
      <x:c r="H47" s="24" t="n">
        <x:f>IF(7&gt;'Ayarlar'!$B$6,0,IF(MAX(0,'Ayarlar'!$B$6-IF('Ayarlar'!$B$7&lt;=0,99,ROUNDUP(MAX('Proje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girdileri'!AD47/'Ayarlar'!$B$7,0))/(52/12),0)),7-1&lt;'Proje girdileri'!AH47),POWER(1-'Proje girdileri'!AT47,7-1),0)+IF(AND(2&gt;IF('Ayarlar'!$B$7&lt;=0,99,ROUNDUP(MAX('Proje girdileri'!AC47,ROUNDUP('Proje girdileri'!AD47/'Ayarlar'!$B$7,0))/(52/12),0)),7-2&lt;'Proje girdileri'!AH47),POWER(1-'Proje girdileri'!AT47,7-2),0)+IF(AND(3&gt;IF('Ayarlar'!$B$7&lt;=0,99,ROUNDUP(MAX('Proje girdileri'!AC47,ROUNDUP('Proje girdileri'!AD47/'Ayarlar'!$B$7,0))/(52/12),0)),7-3&lt;'Proje girdileri'!AH47),POWER(1-'Proje girdileri'!AT47,7-3),0)+IF(AND(4&gt;IF('Ayarlar'!$B$7&lt;=0,99,ROUNDUP(MAX('Proje girdileri'!AC47,ROUNDUP('Proje girdileri'!AD47/'Ayarlar'!$B$7,0))/(52/12),0)),7-4&lt;'Proje girdileri'!AH47),POWER(1-'Proje girdileri'!AT47,7-4),0)+IF(AND(5&gt;IF('Ayarlar'!$B$7&lt;=0,99,ROUNDUP(MAX('Proje girdileri'!AC47,ROUNDUP('Proje girdileri'!AD47/'Ayarlar'!$B$7,0))/(52/12),0)),7-5&lt;'Proje girdileri'!AH47),POWER(1-'Proje girdileri'!AT47,7-5),0)+IF(AND(6&gt;IF('Ayarlar'!$B$7&lt;=0,99,ROUNDUP(MAX('Proje girdileri'!AC47,ROUNDUP('Proje girdileri'!AD47/'Ayarlar'!$B$7,0))/(52/12),0)),7-6&lt;'Proje girdileri'!AH47),POWER(1-'Proje girdileri'!AT47,7-6),0)+IF(AND(7&gt;IF('Ayarlar'!$B$7&lt;=0,99,ROUNDUP(MAX('Proje girdileri'!AC47,ROUNDUP('Proje girdileri'!AD47/'Ayarlar'!$B$7,0))/(52/12),0)),7-7&lt;'Proje girdileri'!AH47),POWER(1-'Proje girdileri'!AT47,7-7),0)),IF(7&gt;IF('Ayarlar'!$B$7&lt;=0,99,ROUNDUP(MAX('Proje girdileri'!AC47,ROUNDUP('Proje girdileri'!AD47/'Ayarlar'!$B$7,0))/(52/12),0)),1,0))*('Proje girdileri'!Y47*(1-'Proje girdileri'!AA47-'Proje girdileri'!AB47)-'Proje girdileri'!Z47))-'Proje girdileri'!AJ47)</x:f>
        <x:v>0</x:v>
      </x:c>
      <x:c r="I47" s="24" t="n">
        <x:f>IF(8&gt;'Ayarlar'!$B$6,0,IF(MAX(0,'Ayarlar'!$B$6-IF('Ayarlar'!$B$7&lt;=0,99,ROUNDUP(MAX('Proje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girdileri'!AD47/'Ayarlar'!$B$7,0))/(52/12),0)),8-1&lt;'Proje girdileri'!AH47),POWER(1-'Proje girdileri'!AT47,8-1),0)+IF(AND(2&gt;IF('Ayarlar'!$B$7&lt;=0,99,ROUNDUP(MAX('Proje girdileri'!AC47,ROUNDUP('Proje girdileri'!AD47/'Ayarlar'!$B$7,0))/(52/12),0)),8-2&lt;'Proje girdileri'!AH47),POWER(1-'Proje girdileri'!AT47,8-2),0)+IF(AND(3&gt;IF('Ayarlar'!$B$7&lt;=0,99,ROUNDUP(MAX('Proje girdileri'!AC47,ROUNDUP('Proje girdileri'!AD47/'Ayarlar'!$B$7,0))/(52/12),0)),8-3&lt;'Proje girdileri'!AH47),POWER(1-'Proje girdileri'!AT47,8-3),0)+IF(AND(4&gt;IF('Ayarlar'!$B$7&lt;=0,99,ROUNDUP(MAX('Proje girdileri'!AC47,ROUNDUP('Proje girdileri'!AD47/'Ayarlar'!$B$7,0))/(52/12),0)),8-4&lt;'Proje girdileri'!AH47),POWER(1-'Proje girdileri'!AT47,8-4),0)+IF(AND(5&gt;IF('Ayarlar'!$B$7&lt;=0,99,ROUNDUP(MAX('Proje girdileri'!AC47,ROUNDUP('Proje girdileri'!AD47/'Ayarlar'!$B$7,0))/(52/12),0)),8-5&lt;'Proje girdileri'!AH47),POWER(1-'Proje girdileri'!AT47,8-5),0)+IF(AND(6&gt;IF('Ayarlar'!$B$7&lt;=0,99,ROUNDUP(MAX('Proje girdileri'!AC47,ROUNDUP('Proje girdileri'!AD47/'Ayarlar'!$B$7,0))/(52/12),0)),8-6&lt;'Proje girdileri'!AH47),POWER(1-'Proje girdileri'!AT47,8-6),0)+IF(AND(7&gt;IF('Ayarlar'!$B$7&lt;=0,99,ROUNDUP(MAX('Proje girdileri'!AC47,ROUNDUP('Proje girdileri'!AD47/'Ayarlar'!$B$7,0))/(52/12),0)),8-7&lt;'Proje girdileri'!AH47),POWER(1-'Proje girdileri'!AT47,8-7),0)+IF(AND(8&gt;IF('Ayarlar'!$B$7&lt;=0,99,ROUNDUP(MAX('Proje girdileri'!AC47,ROUNDUP('Proje girdileri'!AD47/'Ayarlar'!$B$7,0))/(52/12),0)),8-8&lt;'Proje girdileri'!AH47),POWER(1-'Proje girdileri'!AT47,8-8),0)),IF(8&gt;IF('Ayarlar'!$B$7&lt;=0,99,ROUNDUP(MAX('Proje girdileri'!AC47,ROUNDUP('Proje girdileri'!AD47/'Ayarlar'!$B$7,0))/(52/12),0)),1,0))*('Proje girdileri'!Y47*(1-'Proje girdileri'!AA47-'Proje girdileri'!AB47)-'Proje girdileri'!Z47))-'Proje girdileri'!AJ47)</x:f>
        <x:v>0</x:v>
      </x:c>
      <x:c r="J47" s="24" t="n">
        <x:f>IF(9&gt;'Ayarlar'!$B$6,0,IF(MAX(0,'Ayarlar'!$B$6-IF('Ayarlar'!$B$7&lt;=0,99,ROUNDUP(MAX('Proje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girdileri'!AD47/'Ayarlar'!$B$7,0))/(52/12),0)),9-1&lt;'Proje girdileri'!AH47),POWER(1-'Proje girdileri'!AT47,9-1),0)+IF(AND(2&gt;IF('Ayarlar'!$B$7&lt;=0,99,ROUNDUP(MAX('Proje girdileri'!AC47,ROUNDUP('Proje girdileri'!AD47/'Ayarlar'!$B$7,0))/(52/12),0)),9-2&lt;'Proje girdileri'!AH47),POWER(1-'Proje girdileri'!AT47,9-2),0)+IF(AND(3&gt;IF('Ayarlar'!$B$7&lt;=0,99,ROUNDUP(MAX('Proje girdileri'!AC47,ROUNDUP('Proje girdileri'!AD47/'Ayarlar'!$B$7,0))/(52/12),0)),9-3&lt;'Proje girdileri'!AH47),POWER(1-'Proje girdileri'!AT47,9-3),0)+IF(AND(4&gt;IF('Ayarlar'!$B$7&lt;=0,99,ROUNDUP(MAX('Proje girdileri'!AC47,ROUNDUP('Proje girdileri'!AD47/'Ayarlar'!$B$7,0))/(52/12),0)),9-4&lt;'Proje girdileri'!AH47),POWER(1-'Proje girdileri'!AT47,9-4),0)+IF(AND(5&gt;IF('Ayarlar'!$B$7&lt;=0,99,ROUNDUP(MAX('Proje girdileri'!AC47,ROUNDUP('Proje girdileri'!AD47/'Ayarlar'!$B$7,0))/(52/12),0)),9-5&lt;'Proje girdileri'!AH47),POWER(1-'Proje girdileri'!AT47,9-5),0)+IF(AND(6&gt;IF('Ayarlar'!$B$7&lt;=0,99,ROUNDUP(MAX('Proje girdileri'!AC47,ROUNDUP('Proje girdileri'!AD47/'Ayarlar'!$B$7,0))/(52/12),0)),9-6&lt;'Proje girdileri'!AH47),POWER(1-'Proje girdileri'!AT47,9-6),0)+IF(AND(7&gt;IF('Ayarlar'!$B$7&lt;=0,99,ROUNDUP(MAX('Proje girdileri'!AC47,ROUNDUP('Proje girdileri'!AD47/'Ayarlar'!$B$7,0))/(52/12),0)),9-7&lt;'Proje girdileri'!AH47),POWER(1-'Proje girdileri'!AT47,9-7),0)+IF(AND(8&gt;IF('Ayarlar'!$B$7&lt;=0,99,ROUNDUP(MAX('Proje girdileri'!AC47,ROUNDUP('Proje girdileri'!AD47/'Ayarlar'!$B$7,0))/(52/12),0)),9-8&lt;'Proje girdileri'!AH47),POWER(1-'Proje girdileri'!AT47,9-8),0)+IF(AND(9&gt;IF('Ayarlar'!$B$7&lt;=0,99,ROUNDUP(MAX('Proje girdileri'!AC47,ROUNDUP('Proje girdileri'!AD47/'Ayarlar'!$B$7,0))/(52/12),0)),9-9&lt;'Proje girdileri'!AH47),POWER(1-'Proje girdileri'!AT47,9-9),0)),IF(9&gt;IF('Ayarlar'!$B$7&lt;=0,99,ROUNDUP(MAX('Proje girdileri'!AC47,ROUNDUP('Proje girdileri'!AD47/'Ayarlar'!$B$7,0))/(52/12),0)),1,0))*('Proje girdileri'!Y47*(1-'Proje girdileri'!AA47-'Proje girdileri'!AB47)-'Proje girdileri'!Z47))-'Proje girdileri'!AJ47)</x:f>
        <x:v>0</x:v>
      </x:c>
      <x:c r="K47" s="24" t="n">
        <x:f>IF(10&gt;'Ayarlar'!$B$6,0,IF(MAX(0,'Ayarlar'!$B$6-IF('Ayarlar'!$B$7&lt;=0,99,ROUNDUP(MAX('Proje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girdileri'!AD47/'Ayarlar'!$B$7,0))/(52/12),0)),10-1&lt;'Proje girdileri'!AH47),POWER(1-'Proje girdileri'!AT47,10-1),0)+IF(AND(2&gt;IF('Ayarlar'!$B$7&lt;=0,99,ROUNDUP(MAX('Proje girdileri'!AC47,ROUNDUP('Proje girdileri'!AD47/'Ayarlar'!$B$7,0))/(52/12),0)),10-2&lt;'Proje girdileri'!AH47),POWER(1-'Proje girdileri'!AT47,10-2),0)+IF(AND(3&gt;IF('Ayarlar'!$B$7&lt;=0,99,ROUNDUP(MAX('Proje girdileri'!AC47,ROUNDUP('Proje girdileri'!AD47/'Ayarlar'!$B$7,0))/(52/12),0)),10-3&lt;'Proje girdileri'!AH47),POWER(1-'Proje girdileri'!AT47,10-3),0)+IF(AND(4&gt;IF('Ayarlar'!$B$7&lt;=0,99,ROUNDUP(MAX('Proje girdileri'!AC47,ROUNDUP('Proje girdileri'!AD47/'Ayarlar'!$B$7,0))/(52/12),0)),10-4&lt;'Proje girdileri'!AH47),POWER(1-'Proje girdileri'!AT47,10-4),0)+IF(AND(5&gt;IF('Ayarlar'!$B$7&lt;=0,99,ROUNDUP(MAX('Proje girdileri'!AC47,ROUNDUP('Proje girdileri'!AD47/'Ayarlar'!$B$7,0))/(52/12),0)),10-5&lt;'Proje girdileri'!AH47),POWER(1-'Proje girdileri'!AT47,10-5),0)+IF(AND(6&gt;IF('Ayarlar'!$B$7&lt;=0,99,ROUNDUP(MAX('Proje girdileri'!AC47,ROUNDUP('Proje girdileri'!AD47/'Ayarlar'!$B$7,0))/(52/12),0)),10-6&lt;'Proje girdileri'!AH47),POWER(1-'Proje girdileri'!AT47,10-6),0)+IF(AND(7&gt;IF('Ayarlar'!$B$7&lt;=0,99,ROUNDUP(MAX('Proje girdileri'!AC47,ROUNDUP('Proje girdileri'!AD47/'Ayarlar'!$B$7,0))/(52/12),0)),10-7&lt;'Proje girdileri'!AH47),POWER(1-'Proje girdileri'!AT47,10-7),0)+IF(AND(8&gt;IF('Ayarlar'!$B$7&lt;=0,99,ROUNDUP(MAX('Proje girdileri'!AC47,ROUNDUP('Proje girdileri'!AD47/'Ayarlar'!$B$7,0))/(52/12),0)),10-8&lt;'Proje girdileri'!AH47),POWER(1-'Proje girdileri'!AT47,10-8),0)+IF(AND(9&gt;IF('Ayarlar'!$B$7&lt;=0,99,ROUNDUP(MAX('Proje girdileri'!AC47,ROUNDUP('Proje girdileri'!AD47/'Ayarlar'!$B$7,0))/(52/12),0)),10-9&lt;'Proje girdileri'!AH47),POWER(1-'Proje girdileri'!AT47,10-9),0)+IF(AND(10&gt;IF('Ayarlar'!$B$7&lt;=0,99,ROUNDUP(MAX('Proje girdileri'!AC47,ROUNDUP('Proje girdileri'!AD47/'Ayarlar'!$B$7,0))/(52/12),0)),10-10&lt;'Proje girdileri'!AH47),POWER(1-'Proje girdileri'!AT47,10-10),0)),IF(10&gt;IF('Ayarlar'!$B$7&lt;=0,99,ROUNDUP(MAX('Proje girdileri'!AC47,ROUNDUP('Proje girdileri'!AD47/'Ayarlar'!$B$7,0))/(52/12),0)),1,0))*('Proje girdileri'!Y47*(1-'Proje girdileri'!AA47-'Proje girdileri'!AB47)-'Proje girdileri'!Z47))-'Proje girdileri'!AJ47)</x:f>
        <x:v>0</x:v>
      </x:c>
      <x:c r="L47" s="24" t="n">
        <x:f>IF(11&gt;'Ayarlar'!$B$6,0,IF(MAX(0,'Ayarlar'!$B$6-IF('Ayarlar'!$B$7&lt;=0,99,ROUNDUP(MAX('Proje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girdileri'!AD47/'Ayarlar'!$B$7,0))/(52/12),0)),11-1&lt;'Proje girdileri'!AH47),POWER(1-'Proje girdileri'!AT47,11-1),0)+IF(AND(2&gt;IF('Ayarlar'!$B$7&lt;=0,99,ROUNDUP(MAX('Proje girdileri'!AC47,ROUNDUP('Proje girdileri'!AD47/'Ayarlar'!$B$7,0))/(52/12),0)),11-2&lt;'Proje girdileri'!AH47),POWER(1-'Proje girdileri'!AT47,11-2),0)+IF(AND(3&gt;IF('Ayarlar'!$B$7&lt;=0,99,ROUNDUP(MAX('Proje girdileri'!AC47,ROUNDUP('Proje girdileri'!AD47/'Ayarlar'!$B$7,0))/(52/12),0)),11-3&lt;'Proje girdileri'!AH47),POWER(1-'Proje girdileri'!AT47,11-3),0)+IF(AND(4&gt;IF('Ayarlar'!$B$7&lt;=0,99,ROUNDUP(MAX('Proje girdileri'!AC47,ROUNDUP('Proje girdileri'!AD47/'Ayarlar'!$B$7,0))/(52/12),0)),11-4&lt;'Proje girdileri'!AH47),POWER(1-'Proje girdileri'!AT47,11-4),0)+IF(AND(5&gt;IF('Ayarlar'!$B$7&lt;=0,99,ROUNDUP(MAX('Proje girdileri'!AC47,ROUNDUP('Proje girdileri'!AD47/'Ayarlar'!$B$7,0))/(52/12),0)),11-5&lt;'Proje girdileri'!AH47),POWER(1-'Proje girdileri'!AT47,11-5),0)+IF(AND(6&gt;IF('Ayarlar'!$B$7&lt;=0,99,ROUNDUP(MAX('Proje girdileri'!AC47,ROUNDUP('Proje girdileri'!AD47/'Ayarlar'!$B$7,0))/(52/12),0)),11-6&lt;'Proje girdileri'!AH47),POWER(1-'Proje girdileri'!AT47,11-6),0)+IF(AND(7&gt;IF('Ayarlar'!$B$7&lt;=0,99,ROUNDUP(MAX('Proje girdileri'!AC47,ROUNDUP('Proje girdileri'!AD47/'Ayarlar'!$B$7,0))/(52/12),0)),11-7&lt;'Proje girdileri'!AH47),POWER(1-'Proje girdileri'!AT47,11-7),0)+IF(AND(8&gt;IF('Ayarlar'!$B$7&lt;=0,99,ROUNDUP(MAX('Proje girdileri'!AC47,ROUNDUP('Proje girdileri'!AD47/'Ayarlar'!$B$7,0))/(52/12),0)),11-8&lt;'Proje girdileri'!AH47),POWER(1-'Proje girdileri'!AT47,11-8),0)+IF(AND(9&gt;IF('Ayarlar'!$B$7&lt;=0,99,ROUNDUP(MAX('Proje girdileri'!AC47,ROUNDUP('Proje girdileri'!AD47/'Ayarlar'!$B$7,0))/(52/12),0)),11-9&lt;'Proje girdileri'!AH47),POWER(1-'Proje girdileri'!AT47,11-9),0)+IF(AND(10&gt;IF('Ayarlar'!$B$7&lt;=0,99,ROUNDUP(MAX('Proje girdileri'!AC47,ROUNDUP('Proje girdileri'!AD47/'Ayarlar'!$B$7,0))/(52/12),0)),11-10&lt;'Proje girdileri'!AH47),POWER(1-'Proje girdileri'!AT47,11-10),0)+IF(AND(11&gt;IF('Ayarlar'!$B$7&lt;=0,99,ROUNDUP(MAX('Proje girdileri'!AC47,ROUNDUP('Proje girdileri'!AD47/'Ayarlar'!$B$7,0))/(52/12),0)),11-11&lt;'Proje girdileri'!AH47),POWER(1-'Proje girdileri'!AT47,11-11),0)),IF(11&gt;IF('Ayarlar'!$B$7&lt;=0,99,ROUNDUP(MAX('Proje girdileri'!AC47,ROUNDUP('Proje girdileri'!AD47/'Ayarlar'!$B$7,0))/(52/12),0)),1,0))*('Proje girdileri'!Y47*(1-'Proje girdileri'!AA47-'Proje girdileri'!AB47)-'Proje girdileri'!Z47))-'Proje girdileri'!AJ47)</x:f>
        <x:v>0</x:v>
      </x:c>
      <x:c r="M47" s="24" t="n">
        <x:f>IF(12&gt;'Ayarlar'!$B$6,0,IF(MAX(0,'Ayarlar'!$B$6-IF('Ayarlar'!$B$7&lt;=0,99,ROUNDUP(MAX('Proje girdileri'!AC47,ROUNDUP('Proje girdileri'!AD47/'Ayarlar'!$B$7,0))/(52/12),0)))=0,0,'Hesap'!I47/MAX(0,'Ayarlar'!$B$6-IF('Ayarlar'!$B$7&lt;=0,99,ROUNDUP(MAX('Proje girdileri'!AC47,ROUNDUP('Proje girdileri'!AD47/'Ayarlar'!$B$7,0))/(52/12),0)))*IF('Proje girdileri'!C47="recurring",(IF(AND(1&gt;IF('Ayarlar'!$B$7&lt;=0,99,ROUNDUP(MAX('Proje girdileri'!AC47,ROUNDUP('Proje girdileri'!AD47/'Ayarlar'!$B$7,0))/(52/12),0)),12-1&lt;'Proje girdileri'!AH47),POWER(1-'Proje girdileri'!AT47,12-1),0)+IF(AND(2&gt;IF('Ayarlar'!$B$7&lt;=0,99,ROUNDUP(MAX('Proje girdileri'!AC47,ROUNDUP('Proje girdileri'!AD47/'Ayarlar'!$B$7,0))/(52/12),0)),12-2&lt;'Proje girdileri'!AH47),POWER(1-'Proje girdileri'!AT47,12-2),0)+IF(AND(3&gt;IF('Ayarlar'!$B$7&lt;=0,99,ROUNDUP(MAX('Proje girdileri'!AC47,ROUNDUP('Proje girdileri'!AD47/'Ayarlar'!$B$7,0))/(52/12),0)),12-3&lt;'Proje girdileri'!AH47),POWER(1-'Proje girdileri'!AT47,12-3),0)+IF(AND(4&gt;IF('Ayarlar'!$B$7&lt;=0,99,ROUNDUP(MAX('Proje girdileri'!AC47,ROUNDUP('Proje girdileri'!AD47/'Ayarlar'!$B$7,0))/(52/12),0)),12-4&lt;'Proje girdileri'!AH47),POWER(1-'Proje girdileri'!AT47,12-4),0)+IF(AND(5&gt;IF('Ayarlar'!$B$7&lt;=0,99,ROUNDUP(MAX('Proje girdileri'!AC47,ROUNDUP('Proje girdileri'!AD47/'Ayarlar'!$B$7,0))/(52/12),0)),12-5&lt;'Proje girdileri'!AH47),POWER(1-'Proje girdileri'!AT47,12-5),0)+IF(AND(6&gt;IF('Ayarlar'!$B$7&lt;=0,99,ROUNDUP(MAX('Proje girdileri'!AC47,ROUNDUP('Proje girdileri'!AD47/'Ayarlar'!$B$7,0))/(52/12),0)),12-6&lt;'Proje girdileri'!AH47),POWER(1-'Proje girdileri'!AT47,12-6),0)+IF(AND(7&gt;IF('Ayarlar'!$B$7&lt;=0,99,ROUNDUP(MAX('Proje girdileri'!AC47,ROUNDUP('Proje girdileri'!AD47/'Ayarlar'!$B$7,0))/(52/12),0)),12-7&lt;'Proje girdileri'!AH47),POWER(1-'Proje girdileri'!AT47,12-7),0)+IF(AND(8&gt;IF('Ayarlar'!$B$7&lt;=0,99,ROUNDUP(MAX('Proje girdileri'!AC47,ROUNDUP('Proje girdileri'!AD47/'Ayarlar'!$B$7,0))/(52/12),0)),12-8&lt;'Proje girdileri'!AH47),POWER(1-'Proje girdileri'!AT47,12-8),0)+IF(AND(9&gt;IF('Ayarlar'!$B$7&lt;=0,99,ROUNDUP(MAX('Proje girdileri'!AC47,ROUNDUP('Proje girdileri'!AD47/'Ayarlar'!$B$7,0))/(52/12),0)),12-9&lt;'Proje girdileri'!AH47),POWER(1-'Proje girdileri'!AT47,12-9),0)+IF(AND(10&gt;IF('Ayarlar'!$B$7&lt;=0,99,ROUNDUP(MAX('Proje girdileri'!AC47,ROUNDUP('Proje girdileri'!AD47/'Ayarlar'!$B$7,0))/(52/12),0)),12-10&lt;'Proje girdileri'!AH47),POWER(1-'Proje girdileri'!AT47,12-10),0)+IF(AND(11&gt;IF('Ayarlar'!$B$7&lt;=0,99,ROUNDUP(MAX('Proje girdileri'!AC47,ROUNDUP('Proje girdileri'!AD47/'Ayarlar'!$B$7,0))/(52/12),0)),12-11&lt;'Proje girdileri'!AH47),POWER(1-'Proje girdileri'!AT47,12-11),0)+IF(AND(12&gt;IF('Ayarlar'!$B$7&lt;=0,99,ROUNDUP(MAX('Proje girdileri'!AC47,ROUNDUP('Proje girdileri'!AD47/'Ayarlar'!$B$7,0))/(52/12),0)),12-12&lt;'Proje girdileri'!AH47),POWER(1-'Proje girdileri'!AT47,12-12),0)),IF(12&gt;IF('Ayarlar'!$B$7&lt;=0,99,ROUNDUP(MAX('Proje girdileri'!AC47,ROUNDUP('Proje girdileri'!AD47/'Ayarlar'!$B$7,0))/(52/12),0)),1,0))*('Proje girdileri'!Y47*(1-'Proje girdileri'!AA47-'Proje girdileri'!AB47)-'Proje girdileri'!Z47))-'Proje girdileri'!AJ47)</x:f>
        <x:v>0</x:v>
      </x:c>
      <x:c r="N47" s="24" t="n">
        <x:f>SUM(B47:M47)</x:f>
        <x:v>-98</x:v>
      </x:c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</x:row>
    <x:row r="48" ht="24" customHeight="1">
      <x:c r="A48" s="2" t="str">
        <x:f>'Hesap'!B48</x:f>
        <x:v>Woo yorum migration</x:v>
      </x:c>
      <x:c r="B48" s="24" t="n">
        <x:f>IF(1&gt;'Ayarlar'!$B$6,0,IF(MAX(0,'Ayarlar'!$B$6-IF('Ayarlar'!$B$7&lt;=0,99,ROUNDUP(MAX('Proje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girdileri'!AD48/'Ayarlar'!$B$7,0))/(52/12),0)),1-1&lt;'Proje girdileri'!AH48),POWER(1-'Proje girdileri'!AT48,1-1),0)),IF(1&gt;IF('Ayarlar'!$B$7&lt;=0,99,ROUNDUP(MAX('Proje girdileri'!AC48,ROUNDUP('Proje girdileri'!AD48/'Ayarlar'!$B$7,0))/(52/12),0)),1,0))*('Proje girdileri'!Y48*(1-'Proje girdileri'!AA48-'Proje girdileri'!AB48)-'Proje girdileri'!Z48))-'Proje girdileri'!AJ48-'Proje girdileri'!AI48)</x:f>
        <x:v>-110</x:v>
      </x:c>
      <x:c r="C48" s="24" t="n">
        <x:f>IF(2&gt;'Ayarlar'!$B$6,0,IF(MAX(0,'Ayarlar'!$B$6-IF('Ayarlar'!$B$7&lt;=0,99,ROUNDUP(MAX('Proje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girdileri'!AD48/'Ayarlar'!$B$7,0))/(52/12),0)),2-1&lt;'Proje girdileri'!AH48),POWER(1-'Proje girdileri'!AT48,2-1),0)+IF(AND(2&gt;IF('Ayarlar'!$B$7&lt;=0,99,ROUNDUP(MAX('Proje girdileri'!AC48,ROUNDUP('Proje girdileri'!AD48/'Ayarlar'!$B$7,0))/(52/12),0)),2-2&lt;'Proje girdileri'!AH48),POWER(1-'Proje girdileri'!AT48,2-2),0)),IF(2&gt;IF('Ayarlar'!$B$7&lt;=0,99,ROUNDUP(MAX('Proje girdileri'!AC48,ROUNDUP('Proje girdileri'!AD48/'Ayarlar'!$B$7,0))/(52/12),0)),1,0))*('Proje girdileri'!Y48*(1-'Proje girdileri'!AA48-'Proje girdileri'!AB48)-'Proje girdileri'!Z48))-'Proje girdileri'!AJ48)</x:f>
        <x:v>-10</x:v>
      </x:c>
      <x:c r="D48" s="24" t="n">
        <x:f>IF(3&gt;'Ayarlar'!$B$6,0,IF(MAX(0,'Ayarlar'!$B$6-IF('Ayarlar'!$B$7&lt;=0,99,ROUNDUP(MAX('Proje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girdileri'!AD48/'Ayarlar'!$B$7,0))/(52/12),0)),3-1&lt;'Proje girdileri'!AH48),POWER(1-'Proje girdileri'!AT48,3-1),0)+IF(AND(2&gt;IF('Ayarlar'!$B$7&lt;=0,99,ROUNDUP(MAX('Proje girdileri'!AC48,ROUNDUP('Proje girdileri'!AD48/'Ayarlar'!$B$7,0))/(52/12),0)),3-2&lt;'Proje girdileri'!AH48),POWER(1-'Proje girdileri'!AT48,3-2),0)+IF(AND(3&gt;IF('Ayarlar'!$B$7&lt;=0,99,ROUNDUP(MAX('Proje girdileri'!AC48,ROUNDUP('Proje girdileri'!AD48/'Ayarlar'!$B$7,0))/(52/12),0)),3-3&lt;'Proje girdileri'!AH48),POWER(1-'Proje girdileri'!AT48,3-3),0)),IF(3&gt;IF('Ayarlar'!$B$7&lt;=0,99,ROUNDUP(MAX('Proje girdileri'!AC48,ROUNDUP('Proje girdileri'!AD48/'Ayarlar'!$B$7,0))/(52/12),0)),1,0))*('Proje girdileri'!Y48*(1-'Proje girdileri'!AA48-'Proje girdileri'!AB48)-'Proje girdileri'!Z48))-'Proje girdileri'!AJ48)</x:f>
        <x:v>279.79999999999995</x:v>
      </x:c>
      <x:c r="E48" s="24" t="n">
        <x:f>IF(4&gt;'Ayarlar'!$B$6,0,IF(MAX(0,'Ayarlar'!$B$6-IF('Ayarlar'!$B$7&lt;=0,99,ROUNDUP(MAX('Proje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girdileri'!AD48/'Ayarlar'!$B$7,0))/(52/12),0)),4-1&lt;'Proje girdileri'!AH48),POWER(1-'Proje girdileri'!AT48,4-1),0)+IF(AND(2&gt;IF('Ayarlar'!$B$7&lt;=0,99,ROUNDUP(MAX('Proje girdileri'!AC48,ROUNDUP('Proje girdileri'!AD48/'Ayarlar'!$B$7,0))/(52/12),0)),4-2&lt;'Proje girdileri'!AH48),POWER(1-'Proje girdileri'!AT48,4-2),0)+IF(AND(3&gt;IF('Ayarlar'!$B$7&lt;=0,99,ROUNDUP(MAX('Proje girdileri'!AC48,ROUNDUP('Proje girdileri'!AD48/'Ayarlar'!$B$7,0))/(52/12),0)),4-3&lt;'Proje girdileri'!AH48),POWER(1-'Proje girdileri'!AT48,4-3),0)+IF(AND(4&gt;IF('Ayarlar'!$B$7&lt;=0,99,ROUNDUP(MAX('Proje girdileri'!AC48,ROUNDUP('Proje girdileri'!AD48/'Ayarlar'!$B$7,0))/(52/12),0)),4-4&lt;'Proje girdileri'!AH48),POWER(1-'Proje girdileri'!AT48,4-4),0)),IF(4&gt;IF('Ayarlar'!$B$7&lt;=0,99,ROUNDUP(MAX('Proje girdileri'!AC48,ROUNDUP('Proje girdileri'!AD48/'Ayarlar'!$B$7,0))/(52/12),0)),1,0))*('Proje girdileri'!Y48*(1-'Proje girdileri'!AA48-'Proje girdileri'!AB48)-'Proje girdileri'!Z48))-'Proje girdileri'!AJ48)</x:f>
        <x:v>279.79999999999995</x:v>
      </x:c>
      <x:c r="F48" s="24" t="n">
        <x:f>IF(5&gt;'Ayarlar'!$B$6,0,IF(MAX(0,'Ayarlar'!$B$6-IF('Ayarlar'!$B$7&lt;=0,99,ROUNDUP(MAX('Proje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girdileri'!AD48/'Ayarlar'!$B$7,0))/(52/12),0)),5-1&lt;'Proje girdileri'!AH48),POWER(1-'Proje girdileri'!AT48,5-1),0)+IF(AND(2&gt;IF('Ayarlar'!$B$7&lt;=0,99,ROUNDUP(MAX('Proje girdileri'!AC48,ROUNDUP('Proje girdileri'!AD48/'Ayarlar'!$B$7,0))/(52/12),0)),5-2&lt;'Proje girdileri'!AH48),POWER(1-'Proje girdileri'!AT48,5-2),0)+IF(AND(3&gt;IF('Ayarlar'!$B$7&lt;=0,99,ROUNDUP(MAX('Proje girdileri'!AC48,ROUNDUP('Proje girdileri'!AD48/'Ayarlar'!$B$7,0))/(52/12),0)),5-3&lt;'Proje girdileri'!AH48),POWER(1-'Proje girdileri'!AT48,5-3),0)+IF(AND(4&gt;IF('Ayarlar'!$B$7&lt;=0,99,ROUNDUP(MAX('Proje girdileri'!AC48,ROUNDUP('Proje girdileri'!AD48/'Ayarlar'!$B$7,0))/(52/12),0)),5-4&lt;'Proje girdileri'!AH48),POWER(1-'Proje girdileri'!AT48,5-4),0)+IF(AND(5&gt;IF('Ayarlar'!$B$7&lt;=0,99,ROUNDUP(MAX('Proje girdileri'!AC48,ROUNDUP('Proje girdileri'!AD48/'Ayarlar'!$B$7,0))/(52/12),0)),5-5&lt;'Proje girdileri'!AH48),POWER(1-'Proje girdileri'!AT48,5-5),0)),IF(5&gt;IF('Ayarlar'!$B$7&lt;=0,99,ROUNDUP(MAX('Proje girdileri'!AC48,ROUNDUP('Proje girdileri'!AD48/'Ayarlar'!$B$7,0))/(52/12),0)),1,0))*('Proje girdileri'!Y48*(1-'Proje girdileri'!AA48-'Proje girdileri'!AB48)-'Proje girdileri'!Z48))-'Proje girdileri'!AJ48)</x:f>
        <x:v>279.79999999999995</x:v>
      </x:c>
      <x:c r="G48" s="24" t="n">
        <x:f>IF(6&gt;'Ayarlar'!$B$6,0,IF(MAX(0,'Ayarlar'!$B$6-IF('Ayarlar'!$B$7&lt;=0,99,ROUNDUP(MAX('Proje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girdileri'!AD48/'Ayarlar'!$B$7,0))/(52/12),0)),6-1&lt;'Proje girdileri'!AH48),POWER(1-'Proje girdileri'!AT48,6-1),0)+IF(AND(2&gt;IF('Ayarlar'!$B$7&lt;=0,99,ROUNDUP(MAX('Proje girdileri'!AC48,ROUNDUP('Proje girdileri'!AD48/'Ayarlar'!$B$7,0))/(52/12),0)),6-2&lt;'Proje girdileri'!AH48),POWER(1-'Proje girdileri'!AT48,6-2),0)+IF(AND(3&gt;IF('Ayarlar'!$B$7&lt;=0,99,ROUNDUP(MAX('Proje girdileri'!AC48,ROUNDUP('Proje girdileri'!AD48/'Ayarlar'!$B$7,0))/(52/12),0)),6-3&lt;'Proje girdileri'!AH48),POWER(1-'Proje girdileri'!AT48,6-3),0)+IF(AND(4&gt;IF('Ayarlar'!$B$7&lt;=0,99,ROUNDUP(MAX('Proje girdileri'!AC48,ROUNDUP('Proje girdileri'!AD48/'Ayarlar'!$B$7,0))/(52/12),0)),6-4&lt;'Proje girdileri'!AH48),POWER(1-'Proje girdileri'!AT48,6-4),0)+IF(AND(5&gt;IF('Ayarlar'!$B$7&lt;=0,99,ROUNDUP(MAX('Proje girdileri'!AC48,ROUNDUP('Proje girdileri'!AD48/'Ayarlar'!$B$7,0))/(52/12),0)),6-5&lt;'Proje girdileri'!AH48),POWER(1-'Proje girdileri'!AT48,6-5),0)+IF(AND(6&gt;IF('Ayarlar'!$B$7&lt;=0,99,ROUNDUP(MAX('Proje girdileri'!AC48,ROUNDUP('Proje girdileri'!AD48/'Ayarlar'!$B$7,0))/(52/12),0)),6-6&lt;'Proje girdileri'!AH48),POWER(1-'Proje girdileri'!AT48,6-6),0)),IF(6&gt;IF('Ayarlar'!$B$7&lt;=0,99,ROUNDUP(MAX('Proje girdileri'!AC48,ROUNDUP('Proje girdileri'!AD48/'Ayarlar'!$B$7,0))/(52/12),0)),1,0))*('Proje girdileri'!Y48*(1-'Proje girdileri'!AA48-'Proje girdileri'!AB48)-'Proje girdileri'!Z48))-'Proje girdileri'!AJ48)</x:f>
        <x:v>279.79999999999995</x:v>
      </x:c>
      <x:c r="H48" s="24" t="n">
        <x:f>IF(7&gt;'Ayarlar'!$B$6,0,IF(MAX(0,'Ayarlar'!$B$6-IF('Ayarlar'!$B$7&lt;=0,99,ROUNDUP(MAX('Proje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girdileri'!AD48/'Ayarlar'!$B$7,0))/(52/12),0)),7-1&lt;'Proje girdileri'!AH48),POWER(1-'Proje girdileri'!AT48,7-1),0)+IF(AND(2&gt;IF('Ayarlar'!$B$7&lt;=0,99,ROUNDUP(MAX('Proje girdileri'!AC48,ROUNDUP('Proje girdileri'!AD48/'Ayarlar'!$B$7,0))/(52/12),0)),7-2&lt;'Proje girdileri'!AH48),POWER(1-'Proje girdileri'!AT48,7-2),0)+IF(AND(3&gt;IF('Ayarlar'!$B$7&lt;=0,99,ROUNDUP(MAX('Proje girdileri'!AC48,ROUNDUP('Proje girdileri'!AD48/'Ayarlar'!$B$7,0))/(52/12),0)),7-3&lt;'Proje girdileri'!AH48),POWER(1-'Proje girdileri'!AT48,7-3),0)+IF(AND(4&gt;IF('Ayarlar'!$B$7&lt;=0,99,ROUNDUP(MAX('Proje girdileri'!AC48,ROUNDUP('Proje girdileri'!AD48/'Ayarlar'!$B$7,0))/(52/12),0)),7-4&lt;'Proje girdileri'!AH48),POWER(1-'Proje girdileri'!AT48,7-4),0)+IF(AND(5&gt;IF('Ayarlar'!$B$7&lt;=0,99,ROUNDUP(MAX('Proje girdileri'!AC48,ROUNDUP('Proje girdileri'!AD48/'Ayarlar'!$B$7,0))/(52/12),0)),7-5&lt;'Proje girdileri'!AH48),POWER(1-'Proje girdileri'!AT48,7-5),0)+IF(AND(6&gt;IF('Ayarlar'!$B$7&lt;=0,99,ROUNDUP(MAX('Proje girdileri'!AC48,ROUNDUP('Proje girdileri'!AD48/'Ayarlar'!$B$7,0))/(52/12),0)),7-6&lt;'Proje girdileri'!AH48),POWER(1-'Proje girdileri'!AT48,7-6),0)+IF(AND(7&gt;IF('Ayarlar'!$B$7&lt;=0,99,ROUNDUP(MAX('Proje girdileri'!AC48,ROUNDUP('Proje girdileri'!AD48/'Ayarlar'!$B$7,0))/(52/12),0)),7-7&lt;'Proje girdileri'!AH48),POWER(1-'Proje girdileri'!AT48,7-7),0)),IF(7&gt;IF('Ayarlar'!$B$7&lt;=0,99,ROUNDUP(MAX('Proje girdileri'!AC48,ROUNDUP('Proje girdileri'!AD48/'Ayarlar'!$B$7,0))/(52/12),0)),1,0))*('Proje girdileri'!Y48*(1-'Proje girdileri'!AA48-'Proje girdileri'!AB48)-'Proje girdileri'!Z48))-'Proje girdileri'!AJ48)</x:f>
        <x:v>0</x:v>
      </x:c>
      <x:c r="I48" s="24" t="n">
        <x:f>IF(8&gt;'Ayarlar'!$B$6,0,IF(MAX(0,'Ayarlar'!$B$6-IF('Ayarlar'!$B$7&lt;=0,99,ROUNDUP(MAX('Proje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girdileri'!AD48/'Ayarlar'!$B$7,0))/(52/12),0)),8-1&lt;'Proje girdileri'!AH48),POWER(1-'Proje girdileri'!AT48,8-1),0)+IF(AND(2&gt;IF('Ayarlar'!$B$7&lt;=0,99,ROUNDUP(MAX('Proje girdileri'!AC48,ROUNDUP('Proje girdileri'!AD48/'Ayarlar'!$B$7,0))/(52/12),0)),8-2&lt;'Proje girdileri'!AH48),POWER(1-'Proje girdileri'!AT48,8-2),0)+IF(AND(3&gt;IF('Ayarlar'!$B$7&lt;=0,99,ROUNDUP(MAX('Proje girdileri'!AC48,ROUNDUP('Proje girdileri'!AD48/'Ayarlar'!$B$7,0))/(52/12),0)),8-3&lt;'Proje girdileri'!AH48),POWER(1-'Proje girdileri'!AT48,8-3),0)+IF(AND(4&gt;IF('Ayarlar'!$B$7&lt;=0,99,ROUNDUP(MAX('Proje girdileri'!AC48,ROUNDUP('Proje girdileri'!AD48/'Ayarlar'!$B$7,0))/(52/12),0)),8-4&lt;'Proje girdileri'!AH48),POWER(1-'Proje girdileri'!AT48,8-4),0)+IF(AND(5&gt;IF('Ayarlar'!$B$7&lt;=0,99,ROUNDUP(MAX('Proje girdileri'!AC48,ROUNDUP('Proje girdileri'!AD48/'Ayarlar'!$B$7,0))/(52/12),0)),8-5&lt;'Proje girdileri'!AH48),POWER(1-'Proje girdileri'!AT48,8-5),0)+IF(AND(6&gt;IF('Ayarlar'!$B$7&lt;=0,99,ROUNDUP(MAX('Proje girdileri'!AC48,ROUNDUP('Proje girdileri'!AD48/'Ayarlar'!$B$7,0))/(52/12),0)),8-6&lt;'Proje girdileri'!AH48),POWER(1-'Proje girdileri'!AT48,8-6),0)+IF(AND(7&gt;IF('Ayarlar'!$B$7&lt;=0,99,ROUNDUP(MAX('Proje girdileri'!AC48,ROUNDUP('Proje girdileri'!AD48/'Ayarlar'!$B$7,0))/(52/12),0)),8-7&lt;'Proje girdileri'!AH48),POWER(1-'Proje girdileri'!AT48,8-7),0)+IF(AND(8&gt;IF('Ayarlar'!$B$7&lt;=0,99,ROUNDUP(MAX('Proje girdileri'!AC48,ROUNDUP('Proje girdileri'!AD48/'Ayarlar'!$B$7,0))/(52/12),0)),8-8&lt;'Proje girdileri'!AH48),POWER(1-'Proje girdileri'!AT48,8-8),0)),IF(8&gt;IF('Ayarlar'!$B$7&lt;=0,99,ROUNDUP(MAX('Proje girdileri'!AC48,ROUNDUP('Proje girdileri'!AD48/'Ayarlar'!$B$7,0))/(52/12),0)),1,0))*('Proje girdileri'!Y48*(1-'Proje girdileri'!AA48-'Proje girdileri'!AB48)-'Proje girdileri'!Z48))-'Proje girdileri'!AJ48)</x:f>
        <x:v>0</x:v>
      </x:c>
      <x:c r="J48" s="24" t="n">
        <x:f>IF(9&gt;'Ayarlar'!$B$6,0,IF(MAX(0,'Ayarlar'!$B$6-IF('Ayarlar'!$B$7&lt;=0,99,ROUNDUP(MAX('Proje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girdileri'!AD48/'Ayarlar'!$B$7,0))/(52/12),0)),9-1&lt;'Proje girdileri'!AH48),POWER(1-'Proje girdileri'!AT48,9-1),0)+IF(AND(2&gt;IF('Ayarlar'!$B$7&lt;=0,99,ROUNDUP(MAX('Proje girdileri'!AC48,ROUNDUP('Proje girdileri'!AD48/'Ayarlar'!$B$7,0))/(52/12),0)),9-2&lt;'Proje girdileri'!AH48),POWER(1-'Proje girdileri'!AT48,9-2),0)+IF(AND(3&gt;IF('Ayarlar'!$B$7&lt;=0,99,ROUNDUP(MAX('Proje girdileri'!AC48,ROUNDUP('Proje girdileri'!AD48/'Ayarlar'!$B$7,0))/(52/12),0)),9-3&lt;'Proje girdileri'!AH48),POWER(1-'Proje girdileri'!AT48,9-3),0)+IF(AND(4&gt;IF('Ayarlar'!$B$7&lt;=0,99,ROUNDUP(MAX('Proje girdileri'!AC48,ROUNDUP('Proje girdileri'!AD48/'Ayarlar'!$B$7,0))/(52/12),0)),9-4&lt;'Proje girdileri'!AH48),POWER(1-'Proje girdileri'!AT48,9-4),0)+IF(AND(5&gt;IF('Ayarlar'!$B$7&lt;=0,99,ROUNDUP(MAX('Proje girdileri'!AC48,ROUNDUP('Proje girdileri'!AD48/'Ayarlar'!$B$7,0))/(52/12),0)),9-5&lt;'Proje girdileri'!AH48),POWER(1-'Proje girdileri'!AT48,9-5),0)+IF(AND(6&gt;IF('Ayarlar'!$B$7&lt;=0,99,ROUNDUP(MAX('Proje girdileri'!AC48,ROUNDUP('Proje girdileri'!AD48/'Ayarlar'!$B$7,0))/(52/12),0)),9-6&lt;'Proje girdileri'!AH48),POWER(1-'Proje girdileri'!AT48,9-6),0)+IF(AND(7&gt;IF('Ayarlar'!$B$7&lt;=0,99,ROUNDUP(MAX('Proje girdileri'!AC48,ROUNDUP('Proje girdileri'!AD48/'Ayarlar'!$B$7,0))/(52/12),0)),9-7&lt;'Proje girdileri'!AH48),POWER(1-'Proje girdileri'!AT48,9-7),0)+IF(AND(8&gt;IF('Ayarlar'!$B$7&lt;=0,99,ROUNDUP(MAX('Proje girdileri'!AC48,ROUNDUP('Proje girdileri'!AD48/'Ayarlar'!$B$7,0))/(52/12),0)),9-8&lt;'Proje girdileri'!AH48),POWER(1-'Proje girdileri'!AT48,9-8),0)+IF(AND(9&gt;IF('Ayarlar'!$B$7&lt;=0,99,ROUNDUP(MAX('Proje girdileri'!AC48,ROUNDUP('Proje girdileri'!AD48/'Ayarlar'!$B$7,0))/(52/12),0)),9-9&lt;'Proje girdileri'!AH48),POWER(1-'Proje girdileri'!AT48,9-9),0)),IF(9&gt;IF('Ayarlar'!$B$7&lt;=0,99,ROUNDUP(MAX('Proje girdileri'!AC48,ROUNDUP('Proje girdileri'!AD48/'Ayarlar'!$B$7,0))/(52/12),0)),1,0))*('Proje girdileri'!Y48*(1-'Proje girdileri'!AA48-'Proje girdileri'!AB48)-'Proje girdileri'!Z48))-'Proje girdileri'!AJ48)</x:f>
        <x:v>0</x:v>
      </x:c>
      <x:c r="K48" s="24" t="n">
        <x:f>IF(10&gt;'Ayarlar'!$B$6,0,IF(MAX(0,'Ayarlar'!$B$6-IF('Ayarlar'!$B$7&lt;=0,99,ROUNDUP(MAX('Proje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girdileri'!AD48/'Ayarlar'!$B$7,0))/(52/12),0)),10-1&lt;'Proje girdileri'!AH48),POWER(1-'Proje girdileri'!AT48,10-1),0)+IF(AND(2&gt;IF('Ayarlar'!$B$7&lt;=0,99,ROUNDUP(MAX('Proje girdileri'!AC48,ROUNDUP('Proje girdileri'!AD48/'Ayarlar'!$B$7,0))/(52/12),0)),10-2&lt;'Proje girdileri'!AH48),POWER(1-'Proje girdileri'!AT48,10-2),0)+IF(AND(3&gt;IF('Ayarlar'!$B$7&lt;=0,99,ROUNDUP(MAX('Proje girdileri'!AC48,ROUNDUP('Proje girdileri'!AD48/'Ayarlar'!$B$7,0))/(52/12),0)),10-3&lt;'Proje girdileri'!AH48),POWER(1-'Proje girdileri'!AT48,10-3),0)+IF(AND(4&gt;IF('Ayarlar'!$B$7&lt;=0,99,ROUNDUP(MAX('Proje girdileri'!AC48,ROUNDUP('Proje girdileri'!AD48/'Ayarlar'!$B$7,0))/(52/12),0)),10-4&lt;'Proje girdileri'!AH48),POWER(1-'Proje girdileri'!AT48,10-4),0)+IF(AND(5&gt;IF('Ayarlar'!$B$7&lt;=0,99,ROUNDUP(MAX('Proje girdileri'!AC48,ROUNDUP('Proje girdileri'!AD48/'Ayarlar'!$B$7,0))/(52/12),0)),10-5&lt;'Proje girdileri'!AH48),POWER(1-'Proje girdileri'!AT48,10-5),0)+IF(AND(6&gt;IF('Ayarlar'!$B$7&lt;=0,99,ROUNDUP(MAX('Proje girdileri'!AC48,ROUNDUP('Proje girdileri'!AD48/'Ayarlar'!$B$7,0))/(52/12),0)),10-6&lt;'Proje girdileri'!AH48),POWER(1-'Proje girdileri'!AT48,10-6),0)+IF(AND(7&gt;IF('Ayarlar'!$B$7&lt;=0,99,ROUNDUP(MAX('Proje girdileri'!AC48,ROUNDUP('Proje girdileri'!AD48/'Ayarlar'!$B$7,0))/(52/12),0)),10-7&lt;'Proje girdileri'!AH48),POWER(1-'Proje girdileri'!AT48,10-7),0)+IF(AND(8&gt;IF('Ayarlar'!$B$7&lt;=0,99,ROUNDUP(MAX('Proje girdileri'!AC48,ROUNDUP('Proje girdileri'!AD48/'Ayarlar'!$B$7,0))/(52/12),0)),10-8&lt;'Proje girdileri'!AH48),POWER(1-'Proje girdileri'!AT48,10-8),0)+IF(AND(9&gt;IF('Ayarlar'!$B$7&lt;=0,99,ROUNDUP(MAX('Proje girdileri'!AC48,ROUNDUP('Proje girdileri'!AD48/'Ayarlar'!$B$7,0))/(52/12),0)),10-9&lt;'Proje girdileri'!AH48),POWER(1-'Proje girdileri'!AT48,10-9),0)+IF(AND(10&gt;IF('Ayarlar'!$B$7&lt;=0,99,ROUNDUP(MAX('Proje girdileri'!AC48,ROUNDUP('Proje girdileri'!AD48/'Ayarlar'!$B$7,0))/(52/12),0)),10-10&lt;'Proje girdileri'!AH48),POWER(1-'Proje girdileri'!AT48,10-10),0)),IF(10&gt;IF('Ayarlar'!$B$7&lt;=0,99,ROUNDUP(MAX('Proje girdileri'!AC48,ROUNDUP('Proje girdileri'!AD48/'Ayarlar'!$B$7,0))/(52/12),0)),1,0))*('Proje girdileri'!Y48*(1-'Proje girdileri'!AA48-'Proje girdileri'!AB48)-'Proje girdileri'!Z48))-'Proje girdileri'!AJ48)</x:f>
        <x:v>0</x:v>
      </x:c>
      <x:c r="L48" s="24" t="n">
        <x:f>IF(11&gt;'Ayarlar'!$B$6,0,IF(MAX(0,'Ayarlar'!$B$6-IF('Ayarlar'!$B$7&lt;=0,99,ROUNDUP(MAX('Proje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girdileri'!AD48/'Ayarlar'!$B$7,0))/(52/12),0)),11-1&lt;'Proje girdileri'!AH48),POWER(1-'Proje girdileri'!AT48,11-1),0)+IF(AND(2&gt;IF('Ayarlar'!$B$7&lt;=0,99,ROUNDUP(MAX('Proje girdileri'!AC48,ROUNDUP('Proje girdileri'!AD48/'Ayarlar'!$B$7,0))/(52/12),0)),11-2&lt;'Proje girdileri'!AH48),POWER(1-'Proje girdileri'!AT48,11-2),0)+IF(AND(3&gt;IF('Ayarlar'!$B$7&lt;=0,99,ROUNDUP(MAX('Proje girdileri'!AC48,ROUNDUP('Proje girdileri'!AD48/'Ayarlar'!$B$7,0))/(52/12),0)),11-3&lt;'Proje girdileri'!AH48),POWER(1-'Proje girdileri'!AT48,11-3),0)+IF(AND(4&gt;IF('Ayarlar'!$B$7&lt;=0,99,ROUNDUP(MAX('Proje girdileri'!AC48,ROUNDUP('Proje girdileri'!AD48/'Ayarlar'!$B$7,0))/(52/12),0)),11-4&lt;'Proje girdileri'!AH48),POWER(1-'Proje girdileri'!AT48,11-4),0)+IF(AND(5&gt;IF('Ayarlar'!$B$7&lt;=0,99,ROUNDUP(MAX('Proje girdileri'!AC48,ROUNDUP('Proje girdileri'!AD48/'Ayarlar'!$B$7,0))/(52/12),0)),11-5&lt;'Proje girdileri'!AH48),POWER(1-'Proje girdileri'!AT48,11-5),0)+IF(AND(6&gt;IF('Ayarlar'!$B$7&lt;=0,99,ROUNDUP(MAX('Proje girdileri'!AC48,ROUNDUP('Proje girdileri'!AD48/'Ayarlar'!$B$7,0))/(52/12),0)),11-6&lt;'Proje girdileri'!AH48),POWER(1-'Proje girdileri'!AT48,11-6),0)+IF(AND(7&gt;IF('Ayarlar'!$B$7&lt;=0,99,ROUNDUP(MAX('Proje girdileri'!AC48,ROUNDUP('Proje girdileri'!AD48/'Ayarlar'!$B$7,0))/(52/12),0)),11-7&lt;'Proje girdileri'!AH48),POWER(1-'Proje girdileri'!AT48,11-7),0)+IF(AND(8&gt;IF('Ayarlar'!$B$7&lt;=0,99,ROUNDUP(MAX('Proje girdileri'!AC48,ROUNDUP('Proje girdileri'!AD48/'Ayarlar'!$B$7,0))/(52/12),0)),11-8&lt;'Proje girdileri'!AH48),POWER(1-'Proje girdileri'!AT48,11-8),0)+IF(AND(9&gt;IF('Ayarlar'!$B$7&lt;=0,99,ROUNDUP(MAX('Proje girdileri'!AC48,ROUNDUP('Proje girdileri'!AD48/'Ayarlar'!$B$7,0))/(52/12),0)),11-9&lt;'Proje girdileri'!AH48),POWER(1-'Proje girdileri'!AT48,11-9),0)+IF(AND(10&gt;IF('Ayarlar'!$B$7&lt;=0,99,ROUNDUP(MAX('Proje girdileri'!AC48,ROUNDUP('Proje girdileri'!AD48/'Ayarlar'!$B$7,0))/(52/12),0)),11-10&lt;'Proje girdileri'!AH48),POWER(1-'Proje girdileri'!AT48,11-10),0)+IF(AND(11&gt;IF('Ayarlar'!$B$7&lt;=0,99,ROUNDUP(MAX('Proje girdileri'!AC48,ROUNDUP('Proje girdileri'!AD48/'Ayarlar'!$B$7,0))/(52/12),0)),11-11&lt;'Proje girdileri'!AH48),POWER(1-'Proje girdileri'!AT48,11-11),0)),IF(11&gt;IF('Ayarlar'!$B$7&lt;=0,99,ROUNDUP(MAX('Proje girdileri'!AC48,ROUNDUP('Proje girdileri'!AD48/'Ayarlar'!$B$7,0))/(52/12),0)),1,0))*('Proje girdileri'!Y48*(1-'Proje girdileri'!AA48-'Proje girdileri'!AB48)-'Proje girdileri'!Z48))-'Proje girdileri'!AJ48)</x:f>
        <x:v>0</x:v>
      </x:c>
      <x:c r="M48" s="24" t="n">
        <x:f>IF(12&gt;'Ayarlar'!$B$6,0,IF(MAX(0,'Ayarlar'!$B$6-IF('Ayarlar'!$B$7&lt;=0,99,ROUNDUP(MAX('Proje girdileri'!AC48,ROUNDUP('Proje girdileri'!AD48/'Ayarlar'!$B$7,0))/(52/12),0)))=0,0,'Hesap'!I48/MAX(0,'Ayarlar'!$B$6-IF('Ayarlar'!$B$7&lt;=0,99,ROUNDUP(MAX('Proje girdileri'!AC48,ROUNDUP('Proje girdileri'!AD48/'Ayarlar'!$B$7,0))/(52/12),0)))*IF('Proje girdileri'!C48="recurring",(IF(AND(1&gt;IF('Ayarlar'!$B$7&lt;=0,99,ROUNDUP(MAX('Proje girdileri'!AC48,ROUNDUP('Proje girdileri'!AD48/'Ayarlar'!$B$7,0))/(52/12),0)),12-1&lt;'Proje girdileri'!AH48),POWER(1-'Proje girdileri'!AT48,12-1),0)+IF(AND(2&gt;IF('Ayarlar'!$B$7&lt;=0,99,ROUNDUP(MAX('Proje girdileri'!AC48,ROUNDUP('Proje girdileri'!AD48/'Ayarlar'!$B$7,0))/(52/12),0)),12-2&lt;'Proje girdileri'!AH48),POWER(1-'Proje girdileri'!AT48,12-2),0)+IF(AND(3&gt;IF('Ayarlar'!$B$7&lt;=0,99,ROUNDUP(MAX('Proje girdileri'!AC48,ROUNDUP('Proje girdileri'!AD48/'Ayarlar'!$B$7,0))/(52/12),0)),12-3&lt;'Proje girdileri'!AH48),POWER(1-'Proje girdileri'!AT48,12-3),0)+IF(AND(4&gt;IF('Ayarlar'!$B$7&lt;=0,99,ROUNDUP(MAX('Proje girdileri'!AC48,ROUNDUP('Proje girdileri'!AD48/'Ayarlar'!$B$7,0))/(52/12),0)),12-4&lt;'Proje girdileri'!AH48),POWER(1-'Proje girdileri'!AT48,12-4),0)+IF(AND(5&gt;IF('Ayarlar'!$B$7&lt;=0,99,ROUNDUP(MAX('Proje girdileri'!AC48,ROUNDUP('Proje girdileri'!AD48/'Ayarlar'!$B$7,0))/(52/12),0)),12-5&lt;'Proje girdileri'!AH48),POWER(1-'Proje girdileri'!AT48,12-5),0)+IF(AND(6&gt;IF('Ayarlar'!$B$7&lt;=0,99,ROUNDUP(MAX('Proje girdileri'!AC48,ROUNDUP('Proje girdileri'!AD48/'Ayarlar'!$B$7,0))/(52/12),0)),12-6&lt;'Proje girdileri'!AH48),POWER(1-'Proje girdileri'!AT48,12-6),0)+IF(AND(7&gt;IF('Ayarlar'!$B$7&lt;=0,99,ROUNDUP(MAX('Proje girdileri'!AC48,ROUNDUP('Proje girdileri'!AD48/'Ayarlar'!$B$7,0))/(52/12),0)),12-7&lt;'Proje girdileri'!AH48),POWER(1-'Proje girdileri'!AT48,12-7),0)+IF(AND(8&gt;IF('Ayarlar'!$B$7&lt;=0,99,ROUNDUP(MAX('Proje girdileri'!AC48,ROUNDUP('Proje girdileri'!AD48/'Ayarlar'!$B$7,0))/(52/12),0)),12-8&lt;'Proje girdileri'!AH48),POWER(1-'Proje girdileri'!AT48,12-8),0)+IF(AND(9&gt;IF('Ayarlar'!$B$7&lt;=0,99,ROUNDUP(MAX('Proje girdileri'!AC48,ROUNDUP('Proje girdileri'!AD48/'Ayarlar'!$B$7,0))/(52/12),0)),12-9&lt;'Proje girdileri'!AH48),POWER(1-'Proje girdileri'!AT48,12-9),0)+IF(AND(10&gt;IF('Ayarlar'!$B$7&lt;=0,99,ROUNDUP(MAX('Proje girdileri'!AC48,ROUNDUP('Proje girdileri'!AD48/'Ayarlar'!$B$7,0))/(52/12),0)),12-10&lt;'Proje girdileri'!AH48),POWER(1-'Proje girdileri'!AT48,12-10),0)+IF(AND(11&gt;IF('Ayarlar'!$B$7&lt;=0,99,ROUNDUP(MAX('Proje girdileri'!AC48,ROUNDUP('Proje girdileri'!AD48/'Ayarlar'!$B$7,0))/(52/12),0)),12-11&lt;'Proje girdileri'!AH48),POWER(1-'Proje girdileri'!AT48,12-11),0)+IF(AND(12&gt;IF('Ayarlar'!$B$7&lt;=0,99,ROUNDUP(MAX('Proje girdileri'!AC48,ROUNDUP('Proje girdileri'!AD48/'Ayarlar'!$B$7,0))/(52/12),0)),12-12&lt;'Proje girdileri'!AH48),POWER(1-'Proje girdileri'!AT48,12-12),0)),IF(12&gt;IF('Ayarlar'!$B$7&lt;=0,99,ROUNDUP(MAX('Proje girdileri'!AC48,ROUNDUP('Proje girdileri'!AD48/'Ayarlar'!$B$7,0))/(52/12),0)),1,0))*('Proje girdileri'!Y48*(1-'Proje girdileri'!AA48-'Proje girdileri'!AB48)-'Proje girdileri'!Z48))-'Proje girdileri'!AJ48)</x:f>
        <x:v>0</x:v>
      </x:c>
      <x:c r="N48" s="24" t="n">
        <x:f>SUM(B48:M48)</x:f>
        <x:v>999.1999999999998</x:v>
      </x:c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</x:row>
    <x:row r="49" ht="24" customHeight="1">
      <x:c r="A49" s="2" t="str">
        <x:f>'Hesap'!B49</x:f>
        <x:v>WP Türkiye dar niş</x:v>
      </x:c>
      <x:c r="B49" s="24" t="n">
        <x:f>IF(1&gt;'Ayarlar'!$B$6,0,IF(MAX(0,'Ayarlar'!$B$6-IF('Ayarlar'!$B$7&lt;=0,99,ROUNDUP(MAX('Proje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girdileri'!AD49/'Ayarlar'!$B$7,0))/(52/12),0)),1-1&lt;'Proje girdileri'!AH49),POWER(1-'Proje girdileri'!AT49,1-1),0)),IF(1&gt;IF('Ayarlar'!$B$7&lt;=0,99,ROUNDUP(MAX('Proje girdileri'!AC49,ROUNDUP('Proje girdileri'!AD49/'Ayarlar'!$B$7,0))/(52/12),0)),1,0))*('Proje girdileri'!Y49*(1-'Proje girdileri'!AA49-'Proje girdileri'!AB49)-'Proje girdileri'!Z49))-'Proje girdileri'!AJ49-'Proje girdileri'!AI49)</x:f>
        <x:v>-270</x:v>
      </x:c>
      <x:c r="C49" s="24" t="n">
        <x:f>IF(2&gt;'Ayarlar'!$B$6,0,IF(MAX(0,'Ayarlar'!$B$6-IF('Ayarlar'!$B$7&lt;=0,99,ROUNDUP(MAX('Proje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girdileri'!AD49/'Ayarlar'!$B$7,0))/(52/12),0)),2-1&lt;'Proje girdileri'!AH49),POWER(1-'Proje girdileri'!AT49,2-1),0)+IF(AND(2&gt;IF('Ayarlar'!$B$7&lt;=0,99,ROUNDUP(MAX('Proje girdileri'!AC49,ROUNDUP('Proje girdileri'!AD49/'Ayarlar'!$B$7,0))/(52/12),0)),2-2&lt;'Proje girdileri'!AH49),POWER(1-'Proje girdileri'!AT49,2-2),0)),IF(2&gt;IF('Ayarlar'!$B$7&lt;=0,99,ROUNDUP(MAX('Proje girdileri'!AC49,ROUNDUP('Proje girdileri'!AD49/'Ayarlar'!$B$7,0))/(52/12),0)),1,0))*('Proje girdileri'!Y49*(1-'Proje girdileri'!AA49-'Proje girdileri'!AB49)-'Proje girdileri'!Z49))-'Proje girdileri'!AJ49)</x:f>
        <x:v>-20</x:v>
      </x:c>
      <x:c r="D49" s="24" t="n">
        <x:f>IF(3&gt;'Ayarlar'!$B$6,0,IF(MAX(0,'Ayarlar'!$B$6-IF('Ayarlar'!$B$7&lt;=0,99,ROUNDUP(MAX('Proje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girdileri'!AD49/'Ayarlar'!$B$7,0))/(52/12),0)),3-1&lt;'Proje girdileri'!AH49),POWER(1-'Proje girdileri'!AT49,3-1),0)+IF(AND(2&gt;IF('Ayarlar'!$B$7&lt;=0,99,ROUNDUP(MAX('Proje girdileri'!AC49,ROUNDUP('Proje girdileri'!AD49/'Ayarlar'!$B$7,0))/(52/12),0)),3-2&lt;'Proje girdileri'!AH49),POWER(1-'Proje girdileri'!AT49,3-2),0)+IF(AND(3&gt;IF('Ayarlar'!$B$7&lt;=0,99,ROUNDUP(MAX('Proje girdileri'!AC49,ROUNDUP('Proje girdileri'!AD49/'Ayarlar'!$B$7,0))/(52/12),0)),3-3&lt;'Proje girdileri'!AH49),POWER(1-'Proje girdileri'!AT49,3-3),0)),IF(3&gt;IF('Ayarlar'!$B$7&lt;=0,99,ROUNDUP(MAX('Proje girdileri'!AC49,ROUNDUP('Proje girdileri'!AD49/'Ayarlar'!$B$7,0))/(52/12),0)),1,0))*('Proje girdileri'!Y49*(1-'Proje girdileri'!AA49-'Proje girdileri'!AB49)-'Proje girdileri'!Z49))-'Proje girdileri'!AJ49)</x:f>
        <x:v>-20</x:v>
      </x:c>
      <x:c r="E49" s="24" t="n">
        <x:f>IF(4&gt;'Ayarlar'!$B$6,0,IF(MAX(0,'Ayarlar'!$B$6-IF('Ayarlar'!$B$7&lt;=0,99,ROUNDUP(MAX('Proje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girdileri'!AD49/'Ayarlar'!$B$7,0))/(52/12),0)),4-1&lt;'Proje girdileri'!AH49),POWER(1-'Proje girdileri'!AT49,4-1),0)+IF(AND(2&gt;IF('Ayarlar'!$B$7&lt;=0,99,ROUNDUP(MAX('Proje girdileri'!AC49,ROUNDUP('Proje girdileri'!AD49/'Ayarlar'!$B$7,0))/(52/12),0)),4-2&lt;'Proje girdileri'!AH49),POWER(1-'Proje girdileri'!AT49,4-2),0)+IF(AND(3&gt;IF('Ayarlar'!$B$7&lt;=0,99,ROUNDUP(MAX('Proje girdileri'!AC49,ROUNDUP('Proje girdileri'!AD49/'Ayarlar'!$B$7,0))/(52/12),0)),4-3&lt;'Proje girdileri'!AH49),POWER(1-'Proje girdileri'!AT49,4-3),0)+IF(AND(4&gt;IF('Ayarlar'!$B$7&lt;=0,99,ROUNDUP(MAX('Proje girdileri'!AC49,ROUNDUP('Proje girdileri'!AD49/'Ayarlar'!$B$7,0))/(52/12),0)),4-4&lt;'Proje girdileri'!AH49),POWER(1-'Proje girdileri'!AT49,4-4),0)),IF(4&gt;IF('Ayarlar'!$B$7&lt;=0,99,ROUNDUP(MAX('Proje girdileri'!AC49,ROUNDUP('Proje girdileri'!AD49/'Ayarlar'!$B$7,0))/(52/12),0)),1,0))*('Proje girdileri'!Y49*(1-'Proje girdileri'!AA49-'Proje girdileri'!AB49)-'Proje girdileri'!Z49))-'Proje girdileri'!AJ49)</x:f>
        <x:v>-20</x:v>
      </x:c>
      <x:c r="F49" s="24" t="n">
        <x:f>IF(5&gt;'Ayarlar'!$B$6,0,IF(MAX(0,'Ayarlar'!$B$6-IF('Ayarlar'!$B$7&lt;=0,99,ROUNDUP(MAX('Proje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girdileri'!AD49/'Ayarlar'!$B$7,0))/(52/12),0)),5-1&lt;'Proje girdileri'!AH49),POWER(1-'Proje girdileri'!AT49,5-1),0)+IF(AND(2&gt;IF('Ayarlar'!$B$7&lt;=0,99,ROUNDUP(MAX('Proje girdileri'!AC49,ROUNDUP('Proje girdileri'!AD49/'Ayarlar'!$B$7,0))/(52/12),0)),5-2&lt;'Proje girdileri'!AH49),POWER(1-'Proje girdileri'!AT49,5-2),0)+IF(AND(3&gt;IF('Ayarlar'!$B$7&lt;=0,99,ROUNDUP(MAX('Proje girdileri'!AC49,ROUNDUP('Proje girdileri'!AD49/'Ayarlar'!$B$7,0))/(52/12),0)),5-3&lt;'Proje girdileri'!AH49),POWER(1-'Proje girdileri'!AT49,5-3),0)+IF(AND(4&gt;IF('Ayarlar'!$B$7&lt;=0,99,ROUNDUP(MAX('Proje girdileri'!AC49,ROUNDUP('Proje girdileri'!AD49/'Ayarlar'!$B$7,0))/(52/12),0)),5-4&lt;'Proje girdileri'!AH49),POWER(1-'Proje girdileri'!AT49,5-4),0)+IF(AND(5&gt;IF('Ayarlar'!$B$7&lt;=0,99,ROUNDUP(MAX('Proje girdileri'!AC49,ROUNDUP('Proje girdileri'!AD49/'Ayarlar'!$B$7,0))/(52/12),0)),5-5&lt;'Proje girdileri'!AH49),POWER(1-'Proje girdileri'!AT49,5-5),0)),IF(5&gt;IF('Ayarlar'!$B$7&lt;=0,99,ROUNDUP(MAX('Proje girdileri'!AC49,ROUNDUP('Proje girdileri'!AD49/'Ayarlar'!$B$7,0))/(52/12),0)),1,0))*('Proje girdileri'!Y49*(1-'Proje girdileri'!AA49-'Proje girdileri'!AB49)-'Proje girdileri'!Z49))-'Proje girdileri'!AJ49)</x:f>
        <x:v>-20</x:v>
      </x:c>
      <x:c r="G49" s="24" t="n">
        <x:f>IF(6&gt;'Ayarlar'!$B$6,0,IF(MAX(0,'Ayarlar'!$B$6-IF('Ayarlar'!$B$7&lt;=0,99,ROUNDUP(MAX('Proje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girdileri'!AD49/'Ayarlar'!$B$7,0))/(52/12),0)),6-1&lt;'Proje girdileri'!AH49),POWER(1-'Proje girdileri'!AT49,6-1),0)+IF(AND(2&gt;IF('Ayarlar'!$B$7&lt;=0,99,ROUNDUP(MAX('Proje girdileri'!AC49,ROUNDUP('Proje girdileri'!AD49/'Ayarlar'!$B$7,0))/(52/12),0)),6-2&lt;'Proje girdileri'!AH49),POWER(1-'Proje girdileri'!AT49,6-2),0)+IF(AND(3&gt;IF('Ayarlar'!$B$7&lt;=0,99,ROUNDUP(MAX('Proje girdileri'!AC49,ROUNDUP('Proje girdileri'!AD49/'Ayarlar'!$B$7,0))/(52/12),0)),6-3&lt;'Proje girdileri'!AH49),POWER(1-'Proje girdileri'!AT49,6-3),0)+IF(AND(4&gt;IF('Ayarlar'!$B$7&lt;=0,99,ROUNDUP(MAX('Proje girdileri'!AC49,ROUNDUP('Proje girdileri'!AD49/'Ayarlar'!$B$7,0))/(52/12),0)),6-4&lt;'Proje girdileri'!AH49),POWER(1-'Proje girdileri'!AT49,6-4),0)+IF(AND(5&gt;IF('Ayarlar'!$B$7&lt;=0,99,ROUNDUP(MAX('Proje girdileri'!AC49,ROUNDUP('Proje girdileri'!AD49/'Ayarlar'!$B$7,0))/(52/12),0)),6-5&lt;'Proje girdileri'!AH49),POWER(1-'Proje girdileri'!AT49,6-5),0)+IF(AND(6&gt;IF('Ayarlar'!$B$7&lt;=0,99,ROUNDUP(MAX('Proje girdileri'!AC49,ROUNDUP('Proje girdileri'!AD49/'Ayarlar'!$B$7,0))/(52/12),0)),6-6&lt;'Proje girdileri'!AH49),POWER(1-'Proje girdileri'!AT49,6-6),0)),IF(6&gt;IF('Ayarlar'!$B$7&lt;=0,99,ROUNDUP(MAX('Proje girdileri'!AC49,ROUNDUP('Proje girdileri'!AD49/'Ayarlar'!$B$7,0))/(52/12),0)),1,0))*('Proje girdileri'!Y49*(1-'Proje girdileri'!AA49-'Proje girdileri'!AB49)-'Proje girdileri'!Z49))-'Proje girdileri'!AJ49)</x:f>
        <x:v>117.82</x:v>
      </x:c>
      <x:c r="H49" s="24" t="n">
        <x:f>IF(7&gt;'Ayarlar'!$B$6,0,IF(MAX(0,'Ayarlar'!$B$6-IF('Ayarlar'!$B$7&lt;=0,99,ROUNDUP(MAX('Proje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girdileri'!AD49/'Ayarlar'!$B$7,0))/(52/12),0)),7-1&lt;'Proje girdileri'!AH49),POWER(1-'Proje girdileri'!AT49,7-1),0)+IF(AND(2&gt;IF('Ayarlar'!$B$7&lt;=0,99,ROUNDUP(MAX('Proje girdileri'!AC49,ROUNDUP('Proje girdileri'!AD49/'Ayarlar'!$B$7,0))/(52/12),0)),7-2&lt;'Proje girdileri'!AH49),POWER(1-'Proje girdileri'!AT49,7-2),0)+IF(AND(3&gt;IF('Ayarlar'!$B$7&lt;=0,99,ROUNDUP(MAX('Proje girdileri'!AC49,ROUNDUP('Proje girdileri'!AD49/'Ayarlar'!$B$7,0))/(52/12),0)),7-3&lt;'Proje girdileri'!AH49),POWER(1-'Proje girdileri'!AT49,7-3),0)+IF(AND(4&gt;IF('Ayarlar'!$B$7&lt;=0,99,ROUNDUP(MAX('Proje girdileri'!AC49,ROUNDUP('Proje girdileri'!AD49/'Ayarlar'!$B$7,0))/(52/12),0)),7-4&lt;'Proje girdileri'!AH49),POWER(1-'Proje girdileri'!AT49,7-4),0)+IF(AND(5&gt;IF('Ayarlar'!$B$7&lt;=0,99,ROUNDUP(MAX('Proje girdileri'!AC49,ROUNDUP('Proje girdileri'!AD49/'Ayarlar'!$B$7,0))/(52/12),0)),7-5&lt;'Proje girdileri'!AH49),POWER(1-'Proje girdileri'!AT49,7-5),0)+IF(AND(6&gt;IF('Ayarlar'!$B$7&lt;=0,99,ROUNDUP(MAX('Proje girdileri'!AC49,ROUNDUP('Proje girdileri'!AD49/'Ayarlar'!$B$7,0))/(52/12),0)),7-6&lt;'Proje girdileri'!AH49),POWER(1-'Proje girdileri'!AT49,7-6),0)+IF(AND(7&gt;IF('Ayarlar'!$B$7&lt;=0,99,ROUNDUP(MAX('Proje girdileri'!AC49,ROUNDUP('Proje girdileri'!AD49/'Ayarlar'!$B$7,0))/(52/12),0)),7-7&lt;'Proje girdileri'!AH49),POWER(1-'Proje girdileri'!AT49,7-7),0)),IF(7&gt;IF('Ayarlar'!$B$7&lt;=0,99,ROUNDUP(MAX('Proje girdileri'!AC49,ROUNDUP('Proje girdileri'!AD49/'Ayarlar'!$B$7,0))/(52/12),0)),1,0))*('Proje girdileri'!Y49*(1-'Proje girdileri'!AA49-'Proje girdileri'!AB49)-'Proje girdileri'!Z49))-'Proje girdileri'!AJ49)</x:f>
        <x:v>0</x:v>
      </x:c>
      <x:c r="I49" s="24" t="n">
        <x:f>IF(8&gt;'Ayarlar'!$B$6,0,IF(MAX(0,'Ayarlar'!$B$6-IF('Ayarlar'!$B$7&lt;=0,99,ROUNDUP(MAX('Proje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girdileri'!AD49/'Ayarlar'!$B$7,0))/(52/12),0)),8-1&lt;'Proje girdileri'!AH49),POWER(1-'Proje girdileri'!AT49,8-1),0)+IF(AND(2&gt;IF('Ayarlar'!$B$7&lt;=0,99,ROUNDUP(MAX('Proje girdileri'!AC49,ROUNDUP('Proje girdileri'!AD49/'Ayarlar'!$B$7,0))/(52/12),0)),8-2&lt;'Proje girdileri'!AH49),POWER(1-'Proje girdileri'!AT49,8-2),0)+IF(AND(3&gt;IF('Ayarlar'!$B$7&lt;=0,99,ROUNDUP(MAX('Proje girdileri'!AC49,ROUNDUP('Proje girdileri'!AD49/'Ayarlar'!$B$7,0))/(52/12),0)),8-3&lt;'Proje girdileri'!AH49),POWER(1-'Proje girdileri'!AT49,8-3),0)+IF(AND(4&gt;IF('Ayarlar'!$B$7&lt;=0,99,ROUNDUP(MAX('Proje girdileri'!AC49,ROUNDUP('Proje girdileri'!AD49/'Ayarlar'!$B$7,0))/(52/12),0)),8-4&lt;'Proje girdileri'!AH49),POWER(1-'Proje girdileri'!AT49,8-4),0)+IF(AND(5&gt;IF('Ayarlar'!$B$7&lt;=0,99,ROUNDUP(MAX('Proje girdileri'!AC49,ROUNDUP('Proje girdileri'!AD49/'Ayarlar'!$B$7,0))/(52/12),0)),8-5&lt;'Proje girdileri'!AH49),POWER(1-'Proje girdileri'!AT49,8-5),0)+IF(AND(6&gt;IF('Ayarlar'!$B$7&lt;=0,99,ROUNDUP(MAX('Proje girdileri'!AC49,ROUNDUP('Proje girdileri'!AD49/'Ayarlar'!$B$7,0))/(52/12),0)),8-6&lt;'Proje girdileri'!AH49),POWER(1-'Proje girdileri'!AT49,8-6),0)+IF(AND(7&gt;IF('Ayarlar'!$B$7&lt;=0,99,ROUNDUP(MAX('Proje girdileri'!AC49,ROUNDUP('Proje girdileri'!AD49/'Ayarlar'!$B$7,0))/(52/12),0)),8-7&lt;'Proje girdileri'!AH49),POWER(1-'Proje girdileri'!AT49,8-7),0)+IF(AND(8&gt;IF('Ayarlar'!$B$7&lt;=0,99,ROUNDUP(MAX('Proje girdileri'!AC49,ROUNDUP('Proje girdileri'!AD49/'Ayarlar'!$B$7,0))/(52/12),0)),8-8&lt;'Proje girdileri'!AH49),POWER(1-'Proje girdileri'!AT49,8-8),0)),IF(8&gt;IF('Ayarlar'!$B$7&lt;=0,99,ROUNDUP(MAX('Proje girdileri'!AC49,ROUNDUP('Proje girdileri'!AD49/'Ayarlar'!$B$7,0))/(52/12),0)),1,0))*('Proje girdileri'!Y49*(1-'Proje girdileri'!AA49-'Proje girdileri'!AB49)-'Proje girdileri'!Z49))-'Proje girdileri'!AJ49)</x:f>
        <x:v>0</x:v>
      </x:c>
      <x:c r="J49" s="24" t="n">
        <x:f>IF(9&gt;'Ayarlar'!$B$6,0,IF(MAX(0,'Ayarlar'!$B$6-IF('Ayarlar'!$B$7&lt;=0,99,ROUNDUP(MAX('Proje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girdileri'!AD49/'Ayarlar'!$B$7,0))/(52/12),0)),9-1&lt;'Proje girdileri'!AH49),POWER(1-'Proje girdileri'!AT49,9-1),0)+IF(AND(2&gt;IF('Ayarlar'!$B$7&lt;=0,99,ROUNDUP(MAX('Proje girdileri'!AC49,ROUNDUP('Proje girdileri'!AD49/'Ayarlar'!$B$7,0))/(52/12),0)),9-2&lt;'Proje girdileri'!AH49),POWER(1-'Proje girdileri'!AT49,9-2),0)+IF(AND(3&gt;IF('Ayarlar'!$B$7&lt;=0,99,ROUNDUP(MAX('Proje girdileri'!AC49,ROUNDUP('Proje girdileri'!AD49/'Ayarlar'!$B$7,0))/(52/12),0)),9-3&lt;'Proje girdileri'!AH49),POWER(1-'Proje girdileri'!AT49,9-3),0)+IF(AND(4&gt;IF('Ayarlar'!$B$7&lt;=0,99,ROUNDUP(MAX('Proje girdileri'!AC49,ROUNDUP('Proje girdileri'!AD49/'Ayarlar'!$B$7,0))/(52/12),0)),9-4&lt;'Proje girdileri'!AH49),POWER(1-'Proje girdileri'!AT49,9-4),0)+IF(AND(5&gt;IF('Ayarlar'!$B$7&lt;=0,99,ROUNDUP(MAX('Proje girdileri'!AC49,ROUNDUP('Proje girdileri'!AD49/'Ayarlar'!$B$7,0))/(52/12),0)),9-5&lt;'Proje girdileri'!AH49),POWER(1-'Proje girdileri'!AT49,9-5),0)+IF(AND(6&gt;IF('Ayarlar'!$B$7&lt;=0,99,ROUNDUP(MAX('Proje girdileri'!AC49,ROUNDUP('Proje girdileri'!AD49/'Ayarlar'!$B$7,0))/(52/12),0)),9-6&lt;'Proje girdileri'!AH49),POWER(1-'Proje girdileri'!AT49,9-6),0)+IF(AND(7&gt;IF('Ayarlar'!$B$7&lt;=0,99,ROUNDUP(MAX('Proje girdileri'!AC49,ROUNDUP('Proje girdileri'!AD49/'Ayarlar'!$B$7,0))/(52/12),0)),9-7&lt;'Proje girdileri'!AH49),POWER(1-'Proje girdileri'!AT49,9-7),0)+IF(AND(8&gt;IF('Ayarlar'!$B$7&lt;=0,99,ROUNDUP(MAX('Proje girdileri'!AC49,ROUNDUP('Proje girdileri'!AD49/'Ayarlar'!$B$7,0))/(52/12),0)),9-8&lt;'Proje girdileri'!AH49),POWER(1-'Proje girdileri'!AT49,9-8),0)+IF(AND(9&gt;IF('Ayarlar'!$B$7&lt;=0,99,ROUNDUP(MAX('Proje girdileri'!AC49,ROUNDUP('Proje girdileri'!AD49/'Ayarlar'!$B$7,0))/(52/12),0)),9-9&lt;'Proje girdileri'!AH49),POWER(1-'Proje girdileri'!AT49,9-9),0)),IF(9&gt;IF('Ayarlar'!$B$7&lt;=0,99,ROUNDUP(MAX('Proje girdileri'!AC49,ROUNDUP('Proje girdileri'!AD49/'Ayarlar'!$B$7,0))/(52/12),0)),1,0))*('Proje girdileri'!Y49*(1-'Proje girdileri'!AA49-'Proje girdileri'!AB49)-'Proje girdileri'!Z49))-'Proje girdileri'!AJ49)</x:f>
        <x:v>0</x:v>
      </x:c>
      <x:c r="K49" s="24" t="n">
        <x:f>IF(10&gt;'Ayarlar'!$B$6,0,IF(MAX(0,'Ayarlar'!$B$6-IF('Ayarlar'!$B$7&lt;=0,99,ROUNDUP(MAX('Proje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girdileri'!AD49/'Ayarlar'!$B$7,0))/(52/12),0)),10-1&lt;'Proje girdileri'!AH49),POWER(1-'Proje girdileri'!AT49,10-1),0)+IF(AND(2&gt;IF('Ayarlar'!$B$7&lt;=0,99,ROUNDUP(MAX('Proje girdileri'!AC49,ROUNDUP('Proje girdileri'!AD49/'Ayarlar'!$B$7,0))/(52/12),0)),10-2&lt;'Proje girdileri'!AH49),POWER(1-'Proje girdileri'!AT49,10-2),0)+IF(AND(3&gt;IF('Ayarlar'!$B$7&lt;=0,99,ROUNDUP(MAX('Proje girdileri'!AC49,ROUNDUP('Proje girdileri'!AD49/'Ayarlar'!$B$7,0))/(52/12),0)),10-3&lt;'Proje girdileri'!AH49),POWER(1-'Proje girdileri'!AT49,10-3),0)+IF(AND(4&gt;IF('Ayarlar'!$B$7&lt;=0,99,ROUNDUP(MAX('Proje girdileri'!AC49,ROUNDUP('Proje girdileri'!AD49/'Ayarlar'!$B$7,0))/(52/12),0)),10-4&lt;'Proje girdileri'!AH49),POWER(1-'Proje girdileri'!AT49,10-4),0)+IF(AND(5&gt;IF('Ayarlar'!$B$7&lt;=0,99,ROUNDUP(MAX('Proje girdileri'!AC49,ROUNDUP('Proje girdileri'!AD49/'Ayarlar'!$B$7,0))/(52/12),0)),10-5&lt;'Proje girdileri'!AH49),POWER(1-'Proje girdileri'!AT49,10-5),0)+IF(AND(6&gt;IF('Ayarlar'!$B$7&lt;=0,99,ROUNDUP(MAX('Proje girdileri'!AC49,ROUNDUP('Proje girdileri'!AD49/'Ayarlar'!$B$7,0))/(52/12),0)),10-6&lt;'Proje girdileri'!AH49),POWER(1-'Proje girdileri'!AT49,10-6),0)+IF(AND(7&gt;IF('Ayarlar'!$B$7&lt;=0,99,ROUNDUP(MAX('Proje girdileri'!AC49,ROUNDUP('Proje girdileri'!AD49/'Ayarlar'!$B$7,0))/(52/12),0)),10-7&lt;'Proje girdileri'!AH49),POWER(1-'Proje girdileri'!AT49,10-7),0)+IF(AND(8&gt;IF('Ayarlar'!$B$7&lt;=0,99,ROUNDUP(MAX('Proje girdileri'!AC49,ROUNDUP('Proje girdileri'!AD49/'Ayarlar'!$B$7,0))/(52/12),0)),10-8&lt;'Proje girdileri'!AH49),POWER(1-'Proje girdileri'!AT49,10-8),0)+IF(AND(9&gt;IF('Ayarlar'!$B$7&lt;=0,99,ROUNDUP(MAX('Proje girdileri'!AC49,ROUNDUP('Proje girdileri'!AD49/'Ayarlar'!$B$7,0))/(52/12),0)),10-9&lt;'Proje girdileri'!AH49),POWER(1-'Proje girdileri'!AT49,10-9),0)+IF(AND(10&gt;IF('Ayarlar'!$B$7&lt;=0,99,ROUNDUP(MAX('Proje girdileri'!AC49,ROUNDUP('Proje girdileri'!AD49/'Ayarlar'!$B$7,0))/(52/12),0)),10-10&lt;'Proje girdileri'!AH49),POWER(1-'Proje girdileri'!AT49,10-10),0)),IF(10&gt;IF('Ayarlar'!$B$7&lt;=0,99,ROUNDUP(MAX('Proje girdileri'!AC49,ROUNDUP('Proje girdileri'!AD49/'Ayarlar'!$B$7,0))/(52/12),0)),1,0))*('Proje girdileri'!Y49*(1-'Proje girdileri'!AA49-'Proje girdileri'!AB49)-'Proje girdileri'!Z49))-'Proje girdileri'!AJ49)</x:f>
        <x:v>0</x:v>
      </x:c>
      <x:c r="L49" s="24" t="n">
        <x:f>IF(11&gt;'Ayarlar'!$B$6,0,IF(MAX(0,'Ayarlar'!$B$6-IF('Ayarlar'!$B$7&lt;=0,99,ROUNDUP(MAX('Proje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girdileri'!AD49/'Ayarlar'!$B$7,0))/(52/12),0)),11-1&lt;'Proje girdileri'!AH49),POWER(1-'Proje girdileri'!AT49,11-1),0)+IF(AND(2&gt;IF('Ayarlar'!$B$7&lt;=0,99,ROUNDUP(MAX('Proje girdileri'!AC49,ROUNDUP('Proje girdileri'!AD49/'Ayarlar'!$B$7,0))/(52/12),0)),11-2&lt;'Proje girdileri'!AH49),POWER(1-'Proje girdileri'!AT49,11-2),0)+IF(AND(3&gt;IF('Ayarlar'!$B$7&lt;=0,99,ROUNDUP(MAX('Proje girdileri'!AC49,ROUNDUP('Proje girdileri'!AD49/'Ayarlar'!$B$7,0))/(52/12),0)),11-3&lt;'Proje girdileri'!AH49),POWER(1-'Proje girdileri'!AT49,11-3),0)+IF(AND(4&gt;IF('Ayarlar'!$B$7&lt;=0,99,ROUNDUP(MAX('Proje girdileri'!AC49,ROUNDUP('Proje girdileri'!AD49/'Ayarlar'!$B$7,0))/(52/12),0)),11-4&lt;'Proje girdileri'!AH49),POWER(1-'Proje girdileri'!AT49,11-4),0)+IF(AND(5&gt;IF('Ayarlar'!$B$7&lt;=0,99,ROUNDUP(MAX('Proje girdileri'!AC49,ROUNDUP('Proje girdileri'!AD49/'Ayarlar'!$B$7,0))/(52/12),0)),11-5&lt;'Proje girdileri'!AH49),POWER(1-'Proje girdileri'!AT49,11-5),0)+IF(AND(6&gt;IF('Ayarlar'!$B$7&lt;=0,99,ROUNDUP(MAX('Proje girdileri'!AC49,ROUNDUP('Proje girdileri'!AD49/'Ayarlar'!$B$7,0))/(52/12),0)),11-6&lt;'Proje girdileri'!AH49),POWER(1-'Proje girdileri'!AT49,11-6),0)+IF(AND(7&gt;IF('Ayarlar'!$B$7&lt;=0,99,ROUNDUP(MAX('Proje girdileri'!AC49,ROUNDUP('Proje girdileri'!AD49/'Ayarlar'!$B$7,0))/(52/12),0)),11-7&lt;'Proje girdileri'!AH49),POWER(1-'Proje girdileri'!AT49,11-7),0)+IF(AND(8&gt;IF('Ayarlar'!$B$7&lt;=0,99,ROUNDUP(MAX('Proje girdileri'!AC49,ROUNDUP('Proje girdileri'!AD49/'Ayarlar'!$B$7,0))/(52/12),0)),11-8&lt;'Proje girdileri'!AH49),POWER(1-'Proje girdileri'!AT49,11-8),0)+IF(AND(9&gt;IF('Ayarlar'!$B$7&lt;=0,99,ROUNDUP(MAX('Proje girdileri'!AC49,ROUNDUP('Proje girdileri'!AD49/'Ayarlar'!$B$7,0))/(52/12),0)),11-9&lt;'Proje girdileri'!AH49),POWER(1-'Proje girdileri'!AT49,11-9),0)+IF(AND(10&gt;IF('Ayarlar'!$B$7&lt;=0,99,ROUNDUP(MAX('Proje girdileri'!AC49,ROUNDUP('Proje girdileri'!AD49/'Ayarlar'!$B$7,0))/(52/12),0)),11-10&lt;'Proje girdileri'!AH49),POWER(1-'Proje girdileri'!AT49,11-10),0)+IF(AND(11&gt;IF('Ayarlar'!$B$7&lt;=0,99,ROUNDUP(MAX('Proje girdileri'!AC49,ROUNDUP('Proje girdileri'!AD49/'Ayarlar'!$B$7,0))/(52/12),0)),11-11&lt;'Proje girdileri'!AH49),POWER(1-'Proje girdileri'!AT49,11-11),0)),IF(11&gt;IF('Ayarlar'!$B$7&lt;=0,99,ROUNDUP(MAX('Proje girdileri'!AC49,ROUNDUP('Proje girdileri'!AD49/'Ayarlar'!$B$7,0))/(52/12),0)),1,0))*('Proje girdileri'!Y49*(1-'Proje girdileri'!AA49-'Proje girdileri'!AB49)-'Proje girdileri'!Z49))-'Proje girdileri'!AJ49)</x:f>
        <x:v>0</x:v>
      </x:c>
      <x:c r="M49" s="24" t="n">
        <x:f>IF(12&gt;'Ayarlar'!$B$6,0,IF(MAX(0,'Ayarlar'!$B$6-IF('Ayarlar'!$B$7&lt;=0,99,ROUNDUP(MAX('Proje girdileri'!AC49,ROUNDUP('Proje girdileri'!AD49/'Ayarlar'!$B$7,0))/(52/12),0)))=0,0,'Hesap'!I49/MAX(0,'Ayarlar'!$B$6-IF('Ayarlar'!$B$7&lt;=0,99,ROUNDUP(MAX('Proje girdileri'!AC49,ROUNDUP('Proje girdileri'!AD49/'Ayarlar'!$B$7,0))/(52/12),0)))*IF('Proje girdileri'!C49="recurring",(IF(AND(1&gt;IF('Ayarlar'!$B$7&lt;=0,99,ROUNDUP(MAX('Proje girdileri'!AC49,ROUNDUP('Proje girdileri'!AD49/'Ayarlar'!$B$7,0))/(52/12),0)),12-1&lt;'Proje girdileri'!AH49),POWER(1-'Proje girdileri'!AT49,12-1),0)+IF(AND(2&gt;IF('Ayarlar'!$B$7&lt;=0,99,ROUNDUP(MAX('Proje girdileri'!AC49,ROUNDUP('Proje girdileri'!AD49/'Ayarlar'!$B$7,0))/(52/12),0)),12-2&lt;'Proje girdileri'!AH49),POWER(1-'Proje girdileri'!AT49,12-2),0)+IF(AND(3&gt;IF('Ayarlar'!$B$7&lt;=0,99,ROUNDUP(MAX('Proje girdileri'!AC49,ROUNDUP('Proje girdileri'!AD49/'Ayarlar'!$B$7,0))/(52/12),0)),12-3&lt;'Proje girdileri'!AH49),POWER(1-'Proje girdileri'!AT49,12-3),0)+IF(AND(4&gt;IF('Ayarlar'!$B$7&lt;=0,99,ROUNDUP(MAX('Proje girdileri'!AC49,ROUNDUP('Proje girdileri'!AD49/'Ayarlar'!$B$7,0))/(52/12),0)),12-4&lt;'Proje girdileri'!AH49),POWER(1-'Proje girdileri'!AT49,12-4),0)+IF(AND(5&gt;IF('Ayarlar'!$B$7&lt;=0,99,ROUNDUP(MAX('Proje girdileri'!AC49,ROUNDUP('Proje girdileri'!AD49/'Ayarlar'!$B$7,0))/(52/12),0)),12-5&lt;'Proje girdileri'!AH49),POWER(1-'Proje girdileri'!AT49,12-5),0)+IF(AND(6&gt;IF('Ayarlar'!$B$7&lt;=0,99,ROUNDUP(MAX('Proje girdileri'!AC49,ROUNDUP('Proje girdileri'!AD49/'Ayarlar'!$B$7,0))/(52/12),0)),12-6&lt;'Proje girdileri'!AH49),POWER(1-'Proje girdileri'!AT49,12-6),0)+IF(AND(7&gt;IF('Ayarlar'!$B$7&lt;=0,99,ROUNDUP(MAX('Proje girdileri'!AC49,ROUNDUP('Proje girdileri'!AD49/'Ayarlar'!$B$7,0))/(52/12),0)),12-7&lt;'Proje girdileri'!AH49),POWER(1-'Proje girdileri'!AT49,12-7),0)+IF(AND(8&gt;IF('Ayarlar'!$B$7&lt;=0,99,ROUNDUP(MAX('Proje girdileri'!AC49,ROUNDUP('Proje girdileri'!AD49/'Ayarlar'!$B$7,0))/(52/12),0)),12-8&lt;'Proje girdileri'!AH49),POWER(1-'Proje girdileri'!AT49,12-8),0)+IF(AND(9&gt;IF('Ayarlar'!$B$7&lt;=0,99,ROUNDUP(MAX('Proje girdileri'!AC49,ROUNDUP('Proje girdileri'!AD49/'Ayarlar'!$B$7,0))/(52/12),0)),12-9&lt;'Proje girdileri'!AH49),POWER(1-'Proje girdileri'!AT49,12-9),0)+IF(AND(10&gt;IF('Ayarlar'!$B$7&lt;=0,99,ROUNDUP(MAX('Proje girdileri'!AC49,ROUNDUP('Proje girdileri'!AD49/'Ayarlar'!$B$7,0))/(52/12),0)),12-10&lt;'Proje girdileri'!AH49),POWER(1-'Proje girdileri'!AT49,12-10),0)+IF(AND(11&gt;IF('Ayarlar'!$B$7&lt;=0,99,ROUNDUP(MAX('Proje girdileri'!AC49,ROUNDUP('Proje girdileri'!AD49/'Ayarlar'!$B$7,0))/(52/12),0)),12-11&lt;'Proje girdileri'!AH49),POWER(1-'Proje girdileri'!AT49,12-11),0)+IF(AND(12&gt;IF('Ayarlar'!$B$7&lt;=0,99,ROUNDUP(MAX('Proje girdileri'!AC49,ROUNDUP('Proje girdileri'!AD49/'Ayarlar'!$B$7,0))/(52/12),0)),12-12&lt;'Proje girdileri'!AH49),POWER(1-'Proje girdileri'!AT49,12-12),0)),IF(12&gt;IF('Ayarlar'!$B$7&lt;=0,99,ROUNDUP(MAX('Proje girdileri'!AC49,ROUNDUP('Proje girdileri'!AD49/'Ayarlar'!$B$7,0))/(52/12),0)),1,0))*('Proje girdileri'!Y49*(1-'Proje girdileri'!AA49-'Proje girdileri'!AB49)-'Proje girdileri'!Z49))-'Proje girdileri'!AJ49)</x:f>
        <x:v>0</x:v>
      </x:c>
      <x:c r="N49" s="24" t="n">
        <x:f>SUM(B49:M49)</x:f>
        <x:v>-232.18</x:v>
      </x:c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</x:row>
    <x:row r="50" ht="24" customHeight="1">
      <x:c r="A50" s="2" t="str">
        <x:f>'Hesap'!B50</x:f>
        <x:v>Zabuno ana restoran ürünü</x:v>
      </x:c>
      <x:c r="B50" s="24" t="n">
        <x:f>IF(1&gt;'Ayarlar'!$B$6,0,IF(MAX(0,'Ayarlar'!$B$6-IF('Ayarlar'!$B$7&lt;=0,99,ROUNDUP(MAX('Proje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girdileri'!AD50/'Ayarlar'!$B$7,0))/(52/12),0)),1-1&lt;'Proje girdileri'!AH50),POWER(1-'Proje girdileri'!AT50,1-1),0)),IF(1&gt;IF('Ayarlar'!$B$7&lt;=0,99,ROUNDUP(MAX('Proje girdileri'!AC50,ROUNDUP('Proje girdileri'!AD50/'Ayarlar'!$B$7,0))/(52/12),0)),1,0))*('Proje girdileri'!Y50*(1-'Proje girdileri'!AA50-'Proje girdileri'!AB50)-'Proje girdileri'!Z50))-'Proje girdileri'!AJ50-'Proje girdileri'!AI50)</x:f>
        <x:v>-270</x:v>
      </x:c>
      <x:c r="C50" s="24" t="n">
        <x:f>IF(2&gt;'Ayarlar'!$B$6,0,IF(MAX(0,'Ayarlar'!$B$6-IF('Ayarlar'!$B$7&lt;=0,99,ROUNDUP(MAX('Proje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girdileri'!AD50/'Ayarlar'!$B$7,0))/(52/12),0)),2-1&lt;'Proje girdileri'!AH50),POWER(1-'Proje girdileri'!AT50,2-1),0)+IF(AND(2&gt;IF('Ayarlar'!$B$7&lt;=0,99,ROUNDUP(MAX('Proje girdileri'!AC50,ROUNDUP('Proje girdileri'!AD50/'Ayarlar'!$B$7,0))/(52/12),0)),2-2&lt;'Proje girdileri'!AH50),POWER(1-'Proje girdileri'!AT50,2-2),0)),IF(2&gt;IF('Ayarlar'!$B$7&lt;=0,99,ROUNDUP(MAX('Proje girdileri'!AC50,ROUNDUP('Proje girdileri'!AD50/'Ayarlar'!$B$7,0))/(52/12),0)),1,0))*('Proje girdileri'!Y50*(1-'Proje girdileri'!AA50-'Proje girdileri'!AB50)-'Proje girdileri'!Z50))-'Proje girdileri'!AJ50)</x:f>
        <x:v>-20</x:v>
      </x:c>
      <x:c r="D50" s="24" t="n">
        <x:f>IF(3&gt;'Ayarlar'!$B$6,0,IF(MAX(0,'Ayarlar'!$B$6-IF('Ayarlar'!$B$7&lt;=0,99,ROUNDUP(MAX('Proje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girdileri'!AD50/'Ayarlar'!$B$7,0))/(52/12),0)),3-1&lt;'Proje girdileri'!AH50),POWER(1-'Proje girdileri'!AT50,3-1),0)+IF(AND(2&gt;IF('Ayarlar'!$B$7&lt;=0,99,ROUNDUP(MAX('Proje girdileri'!AC50,ROUNDUP('Proje girdileri'!AD50/'Ayarlar'!$B$7,0))/(52/12),0)),3-2&lt;'Proje girdileri'!AH50),POWER(1-'Proje girdileri'!AT50,3-2),0)+IF(AND(3&gt;IF('Ayarlar'!$B$7&lt;=0,99,ROUNDUP(MAX('Proje girdileri'!AC50,ROUNDUP('Proje girdileri'!AD50/'Ayarlar'!$B$7,0))/(52/12),0)),3-3&lt;'Proje girdileri'!AH50),POWER(1-'Proje girdileri'!AT50,3-3),0)),IF(3&gt;IF('Ayarlar'!$B$7&lt;=0,99,ROUNDUP(MAX('Proje girdileri'!AC50,ROUNDUP('Proje girdileri'!AD50/'Ayarlar'!$B$7,0))/(52/12),0)),1,0))*('Proje girdileri'!Y50*(1-'Proje girdileri'!AA50-'Proje girdileri'!AB50)-'Proje girdileri'!Z50))-'Proje girdileri'!AJ50)</x:f>
        <x:v>-20</x:v>
      </x:c>
      <x:c r="E50" s="24" t="n">
        <x:f>IF(4&gt;'Ayarlar'!$B$6,0,IF(MAX(0,'Ayarlar'!$B$6-IF('Ayarlar'!$B$7&lt;=0,99,ROUNDUP(MAX('Proje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girdileri'!AD50/'Ayarlar'!$B$7,0))/(52/12),0)),4-1&lt;'Proje girdileri'!AH50),POWER(1-'Proje girdileri'!AT50,4-1),0)+IF(AND(2&gt;IF('Ayarlar'!$B$7&lt;=0,99,ROUNDUP(MAX('Proje girdileri'!AC50,ROUNDUP('Proje girdileri'!AD50/'Ayarlar'!$B$7,0))/(52/12),0)),4-2&lt;'Proje girdileri'!AH50),POWER(1-'Proje girdileri'!AT50,4-2),0)+IF(AND(3&gt;IF('Ayarlar'!$B$7&lt;=0,99,ROUNDUP(MAX('Proje girdileri'!AC50,ROUNDUP('Proje girdileri'!AD50/'Ayarlar'!$B$7,0))/(52/12),0)),4-3&lt;'Proje girdileri'!AH50),POWER(1-'Proje girdileri'!AT50,4-3),0)+IF(AND(4&gt;IF('Ayarlar'!$B$7&lt;=0,99,ROUNDUP(MAX('Proje girdileri'!AC50,ROUNDUP('Proje girdileri'!AD50/'Ayarlar'!$B$7,0))/(52/12),0)),4-4&lt;'Proje girdileri'!AH50),POWER(1-'Proje girdileri'!AT50,4-4),0)),IF(4&gt;IF('Ayarlar'!$B$7&lt;=0,99,ROUNDUP(MAX('Proje girdileri'!AC50,ROUNDUP('Proje girdileri'!AD50/'Ayarlar'!$B$7,0))/(52/12),0)),1,0))*('Proje girdileri'!Y50*(1-'Proje girdileri'!AA50-'Proje girdileri'!AB50)-'Proje girdileri'!Z50))-'Proje girdileri'!AJ50)</x:f>
        <x:v>-20</x:v>
      </x:c>
      <x:c r="F50" s="24" t="n">
        <x:f>IF(5&gt;'Ayarlar'!$B$6,0,IF(MAX(0,'Ayarlar'!$B$6-IF('Ayarlar'!$B$7&lt;=0,99,ROUNDUP(MAX('Proje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girdileri'!AD50/'Ayarlar'!$B$7,0))/(52/12),0)),5-1&lt;'Proje girdileri'!AH50),POWER(1-'Proje girdileri'!AT50,5-1),0)+IF(AND(2&gt;IF('Ayarlar'!$B$7&lt;=0,99,ROUNDUP(MAX('Proje girdileri'!AC50,ROUNDUP('Proje girdileri'!AD50/'Ayarlar'!$B$7,0))/(52/12),0)),5-2&lt;'Proje girdileri'!AH50),POWER(1-'Proje girdileri'!AT50,5-2),0)+IF(AND(3&gt;IF('Ayarlar'!$B$7&lt;=0,99,ROUNDUP(MAX('Proje girdileri'!AC50,ROUNDUP('Proje girdileri'!AD50/'Ayarlar'!$B$7,0))/(52/12),0)),5-3&lt;'Proje girdileri'!AH50),POWER(1-'Proje girdileri'!AT50,5-3),0)+IF(AND(4&gt;IF('Ayarlar'!$B$7&lt;=0,99,ROUNDUP(MAX('Proje girdileri'!AC50,ROUNDUP('Proje girdileri'!AD50/'Ayarlar'!$B$7,0))/(52/12),0)),5-4&lt;'Proje girdileri'!AH50),POWER(1-'Proje girdileri'!AT50,5-4),0)+IF(AND(5&gt;IF('Ayarlar'!$B$7&lt;=0,99,ROUNDUP(MAX('Proje girdileri'!AC50,ROUNDUP('Proje girdileri'!AD50/'Ayarlar'!$B$7,0))/(52/12),0)),5-5&lt;'Proje girdileri'!AH50),POWER(1-'Proje girdileri'!AT50,5-5),0)),IF(5&gt;IF('Ayarlar'!$B$7&lt;=0,99,ROUNDUP(MAX('Proje girdileri'!AC50,ROUNDUP('Proje girdileri'!AD50/'Ayarlar'!$B$7,0))/(52/12),0)),1,0))*('Proje girdileri'!Y50*(1-'Proje girdileri'!AA50-'Proje girdileri'!AB50)-'Proje girdileri'!Z50))-'Proje girdileri'!AJ50)</x:f>
        <x:v>105.07999999999998</x:v>
      </x:c>
      <x:c r="G50" s="24" t="n">
        <x:f>IF(6&gt;'Ayarlar'!$B$6,0,IF(MAX(0,'Ayarlar'!$B$6-IF('Ayarlar'!$B$7&lt;=0,99,ROUNDUP(MAX('Proje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girdileri'!AD50/'Ayarlar'!$B$7,0))/(52/12),0)),6-1&lt;'Proje girdileri'!AH50),POWER(1-'Proje girdileri'!AT50,6-1),0)+IF(AND(2&gt;IF('Ayarlar'!$B$7&lt;=0,99,ROUNDUP(MAX('Proje girdileri'!AC50,ROUNDUP('Proje girdileri'!AD50/'Ayarlar'!$B$7,0))/(52/12),0)),6-2&lt;'Proje girdileri'!AH50),POWER(1-'Proje girdileri'!AT50,6-2),0)+IF(AND(3&gt;IF('Ayarlar'!$B$7&lt;=0,99,ROUNDUP(MAX('Proje girdileri'!AC50,ROUNDUP('Proje girdileri'!AD50/'Ayarlar'!$B$7,0))/(52/12),0)),6-3&lt;'Proje girdileri'!AH50),POWER(1-'Proje girdileri'!AT50,6-3),0)+IF(AND(4&gt;IF('Ayarlar'!$B$7&lt;=0,99,ROUNDUP(MAX('Proje girdileri'!AC50,ROUNDUP('Proje girdileri'!AD50/'Ayarlar'!$B$7,0))/(52/12),0)),6-4&lt;'Proje girdileri'!AH50),POWER(1-'Proje girdileri'!AT50,6-4),0)+IF(AND(5&gt;IF('Ayarlar'!$B$7&lt;=0,99,ROUNDUP(MAX('Proje girdileri'!AC50,ROUNDUP('Proje girdileri'!AD50/'Ayarlar'!$B$7,0))/(52/12),0)),6-5&lt;'Proje girdileri'!AH50),POWER(1-'Proje girdileri'!AT50,6-5),0)+IF(AND(6&gt;IF('Ayarlar'!$B$7&lt;=0,99,ROUNDUP(MAX('Proje girdileri'!AC50,ROUNDUP('Proje girdileri'!AD50/'Ayarlar'!$B$7,0))/(52/12),0)),6-6&lt;'Proje girdileri'!AH50),POWER(1-'Proje girdileri'!AT50,6-6),0)),IF(6&gt;IF('Ayarlar'!$B$7&lt;=0,99,ROUNDUP(MAX('Proje girdileri'!AC50,ROUNDUP('Proje girdileri'!AD50/'Ayarlar'!$B$7,0))/(52/12),0)),1,0))*('Proje girdileri'!Y50*(1-'Proje girdileri'!AA50-'Proje girdileri'!AB50)-'Proje girdileri'!Z50))-'Proje girdileri'!AJ50)</x:f>
        <x:v>223.90599999999998</x:v>
      </x:c>
      <x:c r="H50" s="24" t="n">
        <x:f>IF(7&gt;'Ayarlar'!$B$6,0,IF(MAX(0,'Ayarlar'!$B$6-IF('Ayarlar'!$B$7&lt;=0,99,ROUNDUP(MAX('Proje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girdileri'!AD50/'Ayarlar'!$B$7,0))/(52/12),0)),7-1&lt;'Proje girdileri'!AH50),POWER(1-'Proje girdileri'!AT50,7-1),0)+IF(AND(2&gt;IF('Ayarlar'!$B$7&lt;=0,99,ROUNDUP(MAX('Proje girdileri'!AC50,ROUNDUP('Proje girdileri'!AD50/'Ayarlar'!$B$7,0))/(52/12),0)),7-2&lt;'Proje girdileri'!AH50),POWER(1-'Proje girdileri'!AT50,7-2),0)+IF(AND(3&gt;IF('Ayarlar'!$B$7&lt;=0,99,ROUNDUP(MAX('Proje girdileri'!AC50,ROUNDUP('Proje girdileri'!AD50/'Ayarlar'!$B$7,0))/(52/12),0)),7-3&lt;'Proje girdileri'!AH50),POWER(1-'Proje girdileri'!AT50,7-3),0)+IF(AND(4&gt;IF('Ayarlar'!$B$7&lt;=0,99,ROUNDUP(MAX('Proje girdileri'!AC50,ROUNDUP('Proje girdileri'!AD50/'Ayarlar'!$B$7,0))/(52/12),0)),7-4&lt;'Proje girdileri'!AH50),POWER(1-'Proje girdileri'!AT50,7-4),0)+IF(AND(5&gt;IF('Ayarlar'!$B$7&lt;=0,99,ROUNDUP(MAX('Proje girdileri'!AC50,ROUNDUP('Proje girdileri'!AD50/'Ayarlar'!$B$7,0))/(52/12),0)),7-5&lt;'Proje girdileri'!AH50),POWER(1-'Proje girdileri'!AT50,7-5),0)+IF(AND(6&gt;IF('Ayarlar'!$B$7&lt;=0,99,ROUNDUP(MAX('Proje girdileri'!AC50,ROUNDUP('Proje girdileri'!AD50/'Ayarlar'!$B$7,0))/(52/12),0)),7-6&lt;'Proje girdileri'!AH50),POWER(1-'Proje girdileri'!AT50,7-6),0)+IF(AND(7&gt;IF('Ayarlar'!$B$7&lt;=0,99,ROUNDUP(MAX('Proje girdileri'!AC50,ROUNDUP('Proje girdileri'!AD50/'Ayarlar'!$B$7,0))/(52/12),0)),7-7&lt;'Proje girdileri'!AH50),POWER(1-'Proje girdileri'!AT50,7-7),0)),IF(7&gt;IF('Ayarlar'!$B$7&lt;=0,99,ROUNDUP(MAX('Proje girdileri'!AC50,ROUNDUP('Proje girdileri'!AD50/'Ayarlar'!$B$7,0))/(52/12),0)),1,0))*('Proje girdileri'!Y50*(1-'Proje girdileri'!AA50-'Proje girdileri'!AB50)-'Proje girdileri'!Z50))-'Proje girdileri'!AJ50)</x:f>
        <x:v>0</x:v>
      </x:c>
      <x:c r="I50" s="24" t="n">
        <x:f>IF(8&gt;'Ayarlar'!$B$6,0,IF(MAX(0,'Ayarlar'!$B$6-IF('Ayarlar'!$B$7&lt;=0,99,ROUNDUP(MAX('Proje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girdileri'!AD50/'Ayarlar'!$B$7,0))/(52/12),0)),8-1&lt;'Proje girdileri'!AH50),POWER(1-'Proje girdileri'!AT50,8-1),0)+IF(AND(2&gt;IF('Ayarlar'!$B$7&lt;=0,99,ROUNDUP(MAX('Proje girdileri'!AC50,ROUNDUP('Proje girdileri'!AD50/'Ayarlar'!$B$7,0))/(52/12),0)),8-2&lt;'Proje girdileri'!AH50),POWER(1-'Proje girdileri'!AT50,8-2),0)+IF(AND(3&gt;IF('Ayarlar'!$B$7&lt;=0,99,ROUNDUP(MAX('Proje girdileri'!AC50,ROUNDUP('Proje girdileri'!AD50/'Ayarlar'!$B$7,0))/(52/12),0)),8-3&lt;'Proje girdileri'!AH50),POWER(1-'Proje girdileri'!AT50,8-3),0)+IF(AND(4&gt;IF('Ayarlar'!$B$7&lt;=0,99,ROUNDUP(MAX('Proje girdileri'!AC50,ROUNDUP('Proje girdileri'!AD50/'Ayarlar'!$B$7,0))/(52/12),0)),8-4&lt;'Proje girdileri'!AH50),POWER(1-'Proje girdileri'!AT50,8-4),0)+IF(AND(5&gt;IF('Ayarlar'!$B$7&lt;=0,99,ROUNDUP(MAX('Proje girdileri'!AC50,ROUNDUP('Proje girdileri'!AD50/'Ayarlar'!$B$7,0))/(52/12),0)),8-5&lt;'Proje girdileri'!AH50),POWER(1-'Proje girdileri'!AT50,8-5),0)+IF(AND(6&gt;IF('Ayarlar'!$B$7&lt;=0,99,ROUNDUP(MAX('Proje girdileri'!AC50,ROUNDUP('Proje girdileri'!AD50/'Ayarlar'!$B$7,0))/(52/12),0)),8-6&lt;'Proje girdileri'!AH50),POWER(1-'Proje girdileri'!AT50,8-6),0)+IF(AND(7&gt;IF('Ayarlar'!$B$7&lt;=0,99,ROUNDUP(MAX('Proje girdileri'!AC50,ROUNDUP('Proje girdileri'!AD50/'Ayarlar'!$B$7,0))/(52/12),0)),8-7&lt;'Proje girdileri'!AH50),POWER(1-'Proje girdileri'!AT50,8-7),0)+IF(AND(8&gt;IF('Ayarlar'!$B$7&lt;=0,99,ROUNDUP(MAX('Proje girdileri'!AC50,ROUNDUP('Proje girdileri'!AD50/'Ayarlar'!$B$7,0))/(52/12),0)),8-8&lt;'Proje girdileri'!AH50),POWER(1-'Proje girdileri'!AT50,8-8),0)),IF(8&gt;IF('Ayarlar'!$B$7&lt;=0,99,ROUNDUP(MAX('Proje girdileri'!AC50,ROUNDUP('Proje girdileri'!AD50/'Ayarlar'!$B$7,0))/(52/12),0)),1,0))*('Proje girdileri'!Y50*(1-'Proje girdileri'!AA50-'Proje girdileri'!AB50)-'Proje girdileri'!Z50))-'Proje girdileri'!AJ50)</x:f>
        <x:v>0</x:v>
      </x:c>
      <x:c r="J50" s="24" t="n">
        <x:f>IF(9&gt;'Ayarlar'!$B$6,0,IF(MAX(0,'Ayarlar'!$B$6-IF('Ayarlar'!$B$7&lt;=0,99,ROUNDUP(MAX('Proje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girdileri'!AD50/'Ayarlar'!$B$7,0))/(52/12),0)),9-1&lt;'Proje girdileri'!AH50),POWER(1-'Proje girdileri'!AT50,9-1),0)+IF(AND(2&gt;IF('Ayarlar'!$B$7&lt;=0,99,ROUNDUP(MAX('Proje girdileri'!AC50,ROUNDUP('Proje girdileri'!AD50/'Ayarlar'!$B$7,0))/(52/12),0)),9-2&lt;'Proje girdileri'!AH50),POWER(1-'Proje girdileri'!AT50,9-2),0)+IF(AND(3&gt;IF('Ayarlar'!$B$7&lt;=0,99,ROUNDUP(MAX('Proje girdileri'!AC50,ROUNDUP('Proje girdileri'!AD50/'Ayarlar'!$B$7,0))/(52/12),0)),9-3&lt;'Proje girdileri'!AH50),POWER(1-'Proje girdileri'!AT50,9-3),0)+IF(AND(4&gt;IF('Ayarlar'!$B$7&lt;=0,99,ROUNDUP(MAX('Proje girdileri'!AC50,ROUNDUP('Proje girdileri'!AD50/'Ayarlar'!$B$7,0))/(52/12),0)),9-4&lt;'Proje girdileri'!AH50),POWER(1-'Proje girdileri'!AT50,9-4),0)+IF(AND(5&gt;IF('Ayarlar'!$B$7&lt;=0,99,ROUNDUP(MAX('Proje girdileri'!AC50,ROUNDUP('Proje girdileri'!AD50/'Ayarlar'!$B$7,0))/(52/12),0)),9-5&lt;'Proje girdileri'!AH50),POWER(1-'Proje girdileri'!AT50,9-5),0)+IF(AND(6&gt;IF('Ayarlar'!$B$7&lt;=0,99,ROUNDUP(MAX('Proje girdileri'!AC50,ROUNDUP('Proje girdileri'!AD50/'Ayarlar'!$B$7,0))/(52/12),0)),9-6&lt;'Proje girdileri'!AH50),POWER(1-'Proje girdileri'!AT50,9-6),0)+IF(AND(7&gt;IF('Ayarlar'!$B$7&lt;=0,99,ROUNDUP(MAX('Proje girdileri'!AC50,ROUNDUP('Proje girdileri'!AD50/'Ayarlar'!$B$7,0))/(52/12),0)),9-7&lt;'Proje girdileri'!AH50),POWER(1-'Proje girdileri'!AT50,9-7),0)+IF(AND(8&gt;IF('Ayarlar'!$B$7&lt;=0,99,ROUNDUP(MAX('Proje girdileri'!AC50,ROUNDUP('Proje girdileri'!AD50/'Ayarlar'!$B$7,0))/(52/12),0)),9-8&lt;'Proje girdileri'!AH50),POWER(1-'Proje girdileri'!AT50,9-8),0)+IF(AND(9&gt;IF('Ayarlar'!$B$7&lt;=0,99,ROUNDUP(MAX('Proje girdileri'!AC50,ROUNDUP('Proje girdileri'!AD50/'Ayarlar'!$B$7,0))/(52/12),0)),9-9&lt;'Proje girdileri'!AH50),POWER(1-'Proje girdileri'!AT50,9-9),0)),IF(9&gt;IF('Ayarlar'!$B$7&lt;=0,99,ROUNDUP(MAX('Proje girdileri'!AC50,ROUNDUP('Proje girdileri'!AD50/'Ayarlar'!$B$7,0))/(52/12),0)),1,0))*('Proje girdileri'!Y50*(1-'Proje girdileri'!AA50-'Proje girdileri'!AB50)-'Proje girdileri'!Z50))-'Proje girdileri'!AJ50)</x:f>
        <x:v>0</x:v>
      </x:c>
      <x:c r="K50" s="24" t="n">
        <x:f>IF(10&gt;'Ayarlar'!$B$6,0,IF(MAX(0,'Ayarlar'!$B$6-IF('Ayarlar'!$B$7&lt;=0,99,ROUNDUP(MAX('Proje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girdileri'!AD50/'Ayarlar'!$B$7,0))/(52/12),0)),10-1&lt;'Proje girdileri'!AH50),POWER(1-'Proje girdileri'!AT50,10-1),0)+IF(AND(2&gt;IF('Ayarlar'!$B$7&lt;=0,99,ROUNDUP(MAX('Proje girdileri'!AC50,ROUNDUP('Proje girdileri'!AD50/'Ayarlar'!$B$7,0))/(52/12),0)),10-2&lt;'Proje girdileri'!AH50),POWER(1-'Proje girdileri'!AT50,10-2),0)+IF(AND(3&gt;IF('Ayarlar'!$B$7&lt;=0,99,ROUNDUP(MAX('Proje girdileri'!AC50,ROUNDUP('Proje girdileri'!AD50/'Ayarlar'!$B$7,0))/(52/12),0)),10-3&lt;'Proje girdileri'!AH50),POWER(1-'Proje girdileri'!AT50,10-3),0)+IF(AND(4&gt;IF('Ayarlar'!$B$7&lt;=0,99,ROUNDUP(MAX('Proje girdileri'!AC50,ROUNDUP('Proje girdileri'!AD50/'Ayarlar'!$B$7,0))/(52/12),0)),10-4&lt;'Proje girdileri'!AH50),POWER(1-'Proje girdileri'!AT50,10-4),0)+IF(AND(5&gt;IF('Ayarlar'!$B$7&lt;=0,99,ROUNDUP(MAX('Proje girdileri'!AC50,ROUNDUP('Proje girdileri'!AD50/'Ayarlar'!$B$7,0))/(52/12),0)),10-5&lt;'Proje girdileri'!AH50),POWER(1-'Proje girdileri'!AT50,10-5),0)+IF(AND(6&gt;IF('Ayarlar'!$B$7&lt;=0,99,ROUNDUP(MAX('Proje girdileri'!AC50,ROUNDUP('Proje girdileri'!AD50/'Ayarlar'!$B$7,0))/(52/12),0)),10-6&lt;'Proje girdileri'!AH50),POWER(1-'Proje girdileri'!AT50,10-6),0)+IF(AND(7&gt;IF('Ayarlar'!$B$7&lt;=0,99,ROUNDUP(MAX('Proje girdileri'!AC50,ROUNDUP('Proje girdileri'!AD50/'Ayarlar'!$B$7,0))/(52/12),0)),10-7&lt;'Proje girdileri'!AH50),POWER(1-'Proje girdileri'!AT50,10-7),0)+IF(AND(8&gt;IF('Ayarlar'!$B$7&lt;=0,99,ROUNDUP(MAX('Proje girdileri'!AC50,ROUNDUP('Proje girdileri'!AD50/'Ayarlar'!$B$7,0))/(52/12),0)),10-8&lt;'Proje girdileri'!AH50),POWER(1-'Proje girdileri'!AT50,10-8),0)+IF(AND(9&gt;IF('Ayarlar'!$B$7&lt;=0,99,ROUNDUP(MAX('Proje girdileri'!AC50,ROUNDUP('Proje girdileri'!AD50/'Ayarlar'!$B$7,0))/(52/12),0)),10-9&lt;'Proje girdileri'!AH50),POWER(1-'Proje girdileri'!AT50,10-9),0)+IF(AND(10&gt;IF('Ayarlar'!$B$7&lt;=0,99,ROUNDUP(MAX('Proje girdileri'!AC50,ROUNDUP('Proje girdileri'!AD50/'Ayarlar'!$B$7,0))/(52/12),0)),10-10&lt;'Proje girdileri'!AH50),POWER(1-'Proje girdileri'!AT50,10-10),0)),IF(10&gt;IF('Ayarlar'!$B$7&lt;=0,99,ROUNDUP(MAX('Proje girdileri'!AC50,ROUNDUP('Proje girdileri'!AD50/'Ayarlar'!$B$7,0))/(52/12),0)),1,0))*('Proje girdileri'!Y50*(1-'Proje girdileri'!AA50-'Proje girdileri'!AB50)-'Proje girdileri'!Z50))-'Proje girdileri'!AJ50)</x:f>
        <x:v>0</x:v>
      </x:c>
      <x:c r="L50" s="24" t="n">
        <x:f>IF(11&gt;'Ayarlar'!$B$6,0,IF(MAX(0,'Ayarlar'!$B$6-IF('Ayarlar'!$B$7&lt;=0,99,ROUNDUP(MAX('Proje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girdileri'!AD50/'Ayarlar'!$B$7,0))/(52/12),0)),11-1&lt;'Proje girdileri'!AH50),POWER(1-'Proje girdileri'!AT50,11-1),0)+IF(AND(2&gt;IF('Ayarlar'!$B$7&lt;=0,99,ROUNDUP(MAX('Proje girdileri'!AC50,ROUNDUP('Proje girdileri'!AD50/'Ayarlar'!$B$7,0))/(52/12),0)),11-2&lt;'Proje girdileri'!AH50),POWER(1-'Proje girdileri'!AT50,11-2),0)+IF(AND(3&gt;IF('Ayarlar'!$B$7&lt;=0,99,ROUNDUP(MAX('Proje girdileri'!AC50,ROUNDUP('Proje girdileri'!AD50/'Ayarlar'!$B$7,0))/(52/12),0)),11-3&lt;'Proje girdileri'!AH50),POWER(1-'Proje girdileri'!AT50,11-3),0)+IF(AND(4&gt;IF('Ayarlar'!$B$7&lt;=0,99,ROUNDUP(MAX('Proje girdileri'!AC50,ROUNDUP('Proje girdileri'!AD50/'Ayarlar'!$B$7,0))/(52/12),0)),11-4&lt;'Proje girdileri'!AH50),POWER(1-'Proje girdileri'!AT50,11-4),0)+IF(AND(5&gt;IF('Ayarlar'!$B$7&lt;=0,99,ROUNDUP(MAX('Proje girdileri'!AC50,ROUNDUP('Proje girdileri'!AD50/'Ayarlar'!$B$7,0))/(52/12),0)),11-5&lt;'Proje girdileri'!AH50),POWER(1-'Proje girdileri'!AT50,11-5),0)+IF(AND(6&gt;IF('Ayarlar'!$B$7&lt;=0,99,ROUNDUP(MAX('Proje girdileri'!AC50,ROUNDUP('Proje girdileri'!AD50/'Ayarlar'!$B$7,0))/(52/12),0)),11-6&lt;'Proje girdileri'!AH50),POWER(1-'Proje girdileri'!AT50,11-6),0)+IF(AND(7&gt;IF('Ayarlar'!$B$7&lt;=0,99,ROUNDUP(MAX('Proje girdileri'!AC50,ROUNDUP('Proje girdileri'!AD50/'Ayarlar'!$B$7,0))/(52/12),0)),11-7&lt;'Proje girdileri'!AH50),POWER(1-'Proje girdileri'!AT50,11-7),0)+IF(AND(8&gt;IF('Ayarlar'!$B$7&lt;=0,99,ROUNDUP(MAX('Proje girdileri'!AC50,ROUNDUP('Proje girdileri'!AD50/'Ayarlar'!$B$7,0))/(52/12),0)),11-8&lt;'Proje girdileri'!AH50),POWER(1-'Proje girdileri'!AT50,11-8),0)+IF(AND(9&gt;IF('Ayarlar'!$B$7&lt;=0,99,ROUNDUP(MAX('Proje girdileri'!AC50,ROUNDUP('Proje girdileri'!AD50/'Ayarlar'!$B$7,0))/(52/12),0)),11-9&lt;'Proje girdileri'!AH50),POWER(1-'Proje girdileri'!AT50,11-9),0)+IF(AND(10&gt;IF('Ayarlar'!$B$7&lt;=0,99,ROUNDUP(MAX('Proje girdileri'!AC50,ROUNDUP('Proje girdileri'!AD50/'Ayarlar'!$B$7,0))/(52/12),0)),11-10&lt;'Proje girdileri'!AH50),POWER(1-'Proje girdileri'!AT50,11-10),0)+IF(AND(11&gt;IF('Ayarlar'!$B$7&lt;=0,99,ROUNDUP(MAX('Proje girdileri'!AC50,ROUNDUP('Proje girdileri'!AD50/'Ayarlar'!$B$7,0))/(52/12),0)),11-11&lt;'Proje girdileri'!AH50),POWER(1-'Proje girdileri'!AT50,11-11),0)),IF(11&gt;IF('Ayarlar'!$B$7&lt;=0,99,ROUNDUP(MAX('Proje girdileri'!AC50,ROUNDUP('Proje girdileri'!AD50/'Ayarlar'!$B$7,0))/(52/12),0)),1,0))*('Proje girdileri'!Y50*(1-'Proje girdileri'!AA50-'Proje girdileri'!AB50)-'Proje girdileri'!Z50))-'Proje girdileri'!AJ50)</x:f>
        <x:v>0</x:v>
      </x:c>
      <x:c r="M50" s="24" t="n">
        <x:f>IF(12&gt;'Ayarlar'!$B$6,0,IF(MAX(0,'Ayarlar'!$B$6-IF('Ayarlar'!$B$7&lt;=0,99,ROUNDUP(MAX('Proje girdileri'!AC50,ROUNDUP('Proje girdileri'!AD50/'Ayarlar'!$B$7,0))/(52/12),0)))=0,0,'Hesap'!I50/MAX(0,'Ayarlar'!$B$6-IF('Ayarlar'!$B$7&lt;=0,99,ROUNDUP(MAX('Proje girdileri'!AC50,ROUNDUP('Proje girdileri'!AD50/'Ayarlar'!$B$7,0))/(52/12),0)))*IF('Proje girdileri'!C50="recurring",(IF(AND(1&gt;IF('Ayarlar'!$B$7&lt;=0,99,ROUNDUP(MAX('Proje girdileri'!AC50,ROUNDUP('Proje girdileri'!AD50/'Ayarlar'!$B$7,0))/(52/12),0)),12-1&lt;'Proje girdileri'!AH50),POWER(1-'Proje girdileri'!AT50,12-1),0)+IF(AND(2&gt;IF('Ayarlar'!$B$7&lt;=0,99,ROUNDUP(MAX('Proje girdileri'!AC50,ROUNDUP('Proje girdileri'!AD50/'Ayarlar'!$B$7,0))/(52/12),0)),12-2&lt;'Proje girdileri'!AH50),POWER(1-'Proje girdileri'!AT50,12-2),0)+IF(AND(3&gt;IF('Ayarlar'!$B$7&lt;=0,99,ROUNDUP(MAX('Proje girdileri'!AC50,ROUNDUP('Proje girdileri'!AD50/'Ayarlar'!$B$7,0))/(52/12),0)),12-3&lt;'Proje girdileri'!AH50),POWER(1-'Proje girdileri'!AT50,12-3),0)+IF(AND(4&gt;IF('Ayarlar'!$B$7&lt;=0,99,ROUNDUP(MAX('Proje girdileri'!AC50,ROUNDUP('Proje girdileri'!AD50/'Ayarlar'!$B$7,0))/(52/12),0)),12-4&lt;'Proje girdileri'!AH50),POWER(1-'Proje girdileri'!AT50,12-4),0)+IF(AND(5&gt;IF('Ayarlar'!$B$7&lt;=0,99,ROUNDUP(MAX('Proje girdileri'!AC50,ROUNDUP('Proje girdileri'!AD50/'Ayarlar'!$B$7,0))/(52/12),0)),12-5&lt;'Proje girdileri'!AH50),POWER(1-'Proje girdileri'!AT50,12-5),0)+IF(AND(6&gt;IF('Ayarlar'!$B$7&lt;=0,99,ROUNDUP(MAX('Proje girdileri'!AC50,ROUNDUP('Proje girdileri'!AD50/'Ayarlar'!$B$7,0))/(52/12),0)),12-6&lt;'Proje girdileri'!AH50),POWER(1-'Proje girdileri'!AT50,12-6),0)+IF(AND(7&gt;IF('Ayarlar'!$B$7&lt;=0,99,ROUNDUP(MAX('Proje girdileri'!AC50,ROUNDUP('Proje girdileri'!AD50/'Ayarlar'!$B$7,0))/(52/12),0)),12-7&lt;'Proje girdileri'!AH50),POWER(1-'Proje girdileri'!AT50,12-7),0)+IF(AND(8&gt;IF('Ayarlar'!$B$7&lt;=0,99,ROUNDUP(MAX('Proje girdileri'!AC50,ROUNDUP('Proje girdileri'!AD50/'Ayarlar'!$B$7,0))/(52/12),0)),12-8&lt;'Proje girdileri'!AH50),POWER(1-'Proje girdileri'!AT50,12-8),0)+IF(AND(9&gt;IF('Ayarlar'!$B$7&lt;=0,99,ROUNDUP(MAX('Proje girdileri'!AC50,ROUNDUP('Proje girdileri'!AD50/'Ayarlar'!$B$7,0))/(52/12),0)),12-9&lt;'Proje girdileri'!AH50),POWER(1-'Proje girdileri'!AT50,12-9),0)+IF(AND(10&gt;IF('Ayarlar'!$B$7&lt;=0,99,ROUNDUP(MAX('Proje girdileri'!AC50,ROUNDUP('Proje girdileri'!AD50/'Ayarlar'!$B$7,0))/(52/12),0)),12-10&lt;'Proje girdileri'!AH50),POWER(1-'Proje girdileri'!AT50,12-10),0)+IF(AND(11&gt;IF('Ayarlar'!$B$7&lt;=0,99,ROUNDUP(MAX('Proje girdileri'!AC50,ROUNDUP('Proje girdileri'!AD50/'Ayarlar'!$B$7,0))/(52/12),0)),12-11&lt;'Proje girdileri'!AH50),POWER(1-'Proje girdileri'!AT50,12-11),0)+IF(AND(12&gt;IF('Ayarlar'!$B$7&lt;=0,99,ROUNDUP(MAX('Proje girdileri'!AC50,ROUNDUP('Proje girdileri'!AD50/'Ayarlar'!$B$7,0))/(52/12),0)),12-12&lt;'Proje girdileri'!AH50),POWER(1-'Proje girdileri'!AT50,12-12),0)),IF(12&gt;IF('Ayarlar'!$B$7&lt;=0,99,ROUNDUP(MAX('Proje girdileri'!AC50,ROUNDUP('Proje girdileri'!AD50/'Ayarlar'!$B$7,0))/(52/12),0)),1,0))*('Proje girdileri'!Y50*(1-'Proje girdileri'!AA50-'Proje girdileri'!AB50)-'Proje girdileri'!Z50))-'Proje girdileri'!AJ50)</x:f>
        <x:v>0</x:v>
      </x:c>
      <x:c r="N50" s="24" t="n">
        <x:f>SUM(B50:M50)</x:f>
        <x:v>-1.0140000000000384</x:v>
      </x:c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</x:row>
    <x:row r="68" ht="24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</x:row>
    <x:row r="69" ht="24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</x:row>
    <x:row r="70" ht="24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</x:row>
    <x:row r="77" ht="24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</x:row>
    <x:row r="78" ht="24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</x:row>
    <x:row r="79" ht="24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</x:row>
    <x:row r="80" ht="24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</x:row>
    <x:row r="81" ht="24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</x:row>
    <x:row r="82" ht="24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</x:row>
    <x:row r="83" ht="24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</x:row>
    <x:row r="84" ht="24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</x:row>
    <x:row r="85" ht="24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</x:row>
    <x:row r="86" ht="24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</x:row>
    <x:row r="87" ht="24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</x:row>
    <x:row r="88" ht="24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</x:row>
    <x:row r="89" ht="24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</x:row>
    <x:row r="90" ht="24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</x:row>
    <x:row r="91" ht="24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</x:row>
    <x:row r="92" ht="24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</x:row>
    <x:row r="93" ht="2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</x:row>
    <x:row r="94" ht="2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</x:row>
    <x:row r="95" ht="2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</x:row>
    <x:row r="96" ht="2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</x:row>
    <x:row r="97" ht="2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</x:row>
    <x:row r="98" ht="2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</x:row>
    <x:row r="99" ht="2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</x:row>
    <x:row r="100" ht="2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</x:row>
    <x:row r="101" ht="2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</x:row>
    <x:row r="102" ht="2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</x:row>
    <x:row r="103" ht="24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</x:row>
    <x:row r="104" ht="24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</x:row>
    <x:row r="105" ht="24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</x:row>
    <x:row r="106" ht="24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</x:row>
    <x:row r="107" ht="24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</x:row>
    <x:row r="108" ht="24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</x:row>
    <x:row r="109" ht="24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</x:row>
    <x:row r="110" ht="24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</x:row>
    <x:row r="111" ht="24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</x:row>
    <x:row r="112" ht="24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</x:row>
    <x:row r="113" ht="24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</x:row>
    <x:row r="114" ht="24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</x:row>
    <x:row r="115" ht="24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</x:row>
    <x:row r="116" ht="24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</x:row>
    <x:row r="117" ht="24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</x:row>
    <x:row r="118" ht="24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</x:row>
    <x:row r="119" ht="24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</x:row>
    <x:row r="120" ht="24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</x:row>
    <x:row r="121" ht="24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</x:row>
    <x:row r="122" ht="24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</x:row>
    <x:row r="123" ht="24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</x:row>
    <x:row r="124" ht="24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</x:row>
    <x:row r="125" ht="24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</x:row>
    <x:row r="126" ht="24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</x:row>
    <x:row r="127" ht="24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</x:row>
    <x:row r="128" ht="24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</x:row>
    <x:row r="129" ht="24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</x:row>
    <x:row r="130" ht="24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</x:row>
    <x:row r="131" ht="24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</x:row>
    <x:row r="132" ht="24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</x:row>
    <x:row r="133" ht="24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</x:row>
    <x:row r="134" ht="24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</x:row>
    <x:row r="135" ht="24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</x:row>
    <x:row r="136" ht="24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</x:row>
    <x:row r="137" ht="24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</x:row>
    <x:row r="138" ht="24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</x:row>
    <x:row r="139" ht="24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</x:row>
    <x:row r="140" ht="24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</x:row>
    <x:row r="141" ht="24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</x:row>
    <x:row r="142" ht="24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</x:row>
    <x:row r="143" ht="24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</x:row>
    <x:row r="144" ht="24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</x:row>
    <x:row r="145" ht="24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</x:row>
    <x:row r="146" ht="24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</x:row>
    <x:row r="147" ht="24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</x:row>
    <x:row r="148" ht="24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</x:row>
    <x:row r="149" ht="24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</x:row>
    <x:row r="150" ht="24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</x:row>
    <x:row r="151" ht="24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</x:row>
    <x:row r="152" ht="24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</x:row>
    <x:row r="153" ht="24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</x:row>
    <x:row r="154" ht="24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</x:row>
    <x:row r="155" ht="24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</x:row>
    <x:row r="156" ht="24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</x:row>
    <x:row r="157" ht="24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</x:row>
    <x:row r="158" ht="24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</x:row>
    <x:row r="159" ht="24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</x:row>
    <x:row r="160" ht="24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</x:row>
  </x:sheetData>
  <x:pageMargins left="0.7" right="0.7" top="0.75" bottom="0.75" header="0.3" footer="0.3"/>
</x:worksheet>
</file>